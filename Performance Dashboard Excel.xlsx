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DBA\Excel\"/>
    </mc:Choice>
  </mc:AlternateContent>
  <xr:revisionPtr revIDLastSave="0" documentId="8_{A94BD46E-EEEB-4CA6-A5CE-A47B8AFD2F3B}" xr6:coauthVersionLast="47" xr6:coauthVersionMax="47" xr10:uidLastSave="{00000000-0000-0000-0000-000000000000}"/>
  <bookViews>
    <workbookView xWindow="-105" yWindow="0" windowWidth="19410" windowHeight="15585" firstSheet="1" activeTab="1" xr2:uid="{4903985A-1B90-4C90-91A4-222438552764}"/>
  </bookViews>
  <sheets>
    <sheet name="Region" sheetId="2" r:id="rId1"/>
    <sheet name="DashBoard" sheetId="5" r:id="rId2"/>
    <sheet name="Sheet2 (2)" sheetId="3" r:id="rId3"/>
    <sheet name="Sheet2 (3)" sheetId="4" r:id="rId4"/>
    <sheet name="Sheet2 (4)" sheetId="6" r:id="rId5"/>
    <sheet name="Sheet2 (5)" sheetId="7" r:id="rId6"/>
    <sheet name="SaleData" sheetId="1" r:id="rId7"/>
  </sheets>
  <definedNames>
    <definedName name="NativeTimeline_Date">#N/A</definedName>
    <definedName name="Slicer_Category">#N/A</definedName>
    <definedName name="Slicer_Product">#N/A</definedName>
    <definedName name="Slicer_Region">#N/A</definedName>
    <definedName name="Slicer_Rep">#N/A</definedName>
  </definedNames>
  <calcPr calcId="191029"/>
  <pivotCaches>
    <pivotCache cacheId="15"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<sst xmlns="http://schemas.openxmlformats.org/spreadsheetml/2006/main" count="1072" uniqueCount="263">
  <si>
    <t>OrderID</t>
  </si>
  <si>
    <t>Date</t>
  </si>
  <si>
    <t>Region</t>
  </si>
  <si>
    <t>Category</t>
  </si>
  <si>
    <t>Product</t>
  </si>
  <si>
    <t>Rep</t>
  </si>
  <si>
    <t>Qty</t>
  </si>
  <si>
    <t>UnitPrice</t>
  </si>
  <si>
    <t>Discount</t>
  </si>
  <si>
    <t>Revenue</t>
  </si>
  <si>
    <t>ORD-1001</t>
  </si>
  <si>
    <t>East</t>
  </si>
  <si>
    <t>Electronics</t>
  </si>
  <si>
    <t>Laptop</t>
  </si>
  <si>
    <t>Diana</t>
  </si>
  <si>
    <t>ORD-1002</t>
  </si>
  <si>
    <t>West</t>
  </si>
  <si>
    <t>Webcam</t>
  </si>
  <si>
    <t>Alice</t>
  </si>
  <si>
    <t>ORD-1003</t>
  </si>
  <si>
    <t>North</t>
  </si>
  <si>
    <t>Furniture</t>
  </si>
  <si>
    <t>Cabinet</t>
  </si>
  <si>
    <t>ORD-1004</t>
  </si>
  <si>
    <t>Software</t>
  </si>
  <si>
    <t>VPN License</t>
  </si>
  <si>
    <t>ORD-1005</t>
  </si>
  <si>
    <t>South</t>
  </si>
  <si>
    <t>Stationery</t>
  </si>
  <si>
    <t>Stapler</t>
  </si>
  <si>
    <t>ORD-1006</t>
  </si>
  <si>
    <t>Antivirus</t>
  </si>
  <si>
    <t>Fiona</t>
  </si>
  <si>
    <t>ORD-1007</t>
  </si>
  <si>
    <t>George</t>
  </si>
  <si>
    <t>ORD-1008</t>
  </si>
  <si>
    <t>Sticky Notes</t>
  </si>
  <si>
    <t>Bob</t>
  </si>
  <si>
    <t>ORD-1009</t>
  </si>
  <si>
    <t>Notebook</t>
  </si>
  <si>
    <t>ORD-1010</t>
  </si>
  <si>
    <t>Pens (12-pk)</t>
  </si>
  <si>
    <t>ORD-1011</t>
  </si>
  <si>
    <t>ORD-1012</t>
  </si>
  <si>
    <t>ORD-1013</t>
  </si>
  <si>
    <t>Folders</t>
  </si>
  <si>
    <t>ORD-1014</t>
  </si>
  <si>
    <t>Lamp</t>
  </si>
  <si>
    <t>Hannah</t>
  </si>
  <si>
    <t>ORD-1015</t>
  </si>
  <si>
    <t>ORD-1016</t>
  </si>
  <si>
    <t>Chair</t>
  </si>
  <si>
    <t>ORD-1017</t>
  </si>
  <si>
    <t>ORD-1018</t>
  </si>
  <si>
    <t>ORD-1019</t>
  </si>
  <si>
    <t>ORD-1020</t>
  </si>
  <si>
    <t>ORD-1021</t>
  </si>
  <si>
    <t>Carlos</t>
  </si>
  <si>
    <t>ORD-1022</t>
  </si>
  <si>
    <t>ORD-1023</t>
  </si>
  <si>
    <t>Monitor</t>
  </si>
  <si>
    <t>ORD-1024</t>
  </si>
  <si>
    <t>ORD-1025</t>
  </si>
  <si>
    <t>Project Mgr</t>
  </si>
  <si>
    <t>Ethan</t>
  </si>
  <si>
    <t>ORD-1026</t>
  </si>
  <si>
    <t>ORD-1027</t>
  </si>
  <si>
    <t>ORD-1028</t>
  </si>
  <si>
    <t>ORD-1029</t>
  </si>
  <si>
    <t>Bookshelf</t>
  </si>
  <si>
    <t>ORD-1030</t>
  </si>
  <si>
    <t>ORD-1031</t>
  </si>
  <si>
    <t>Design Suite</t>
  </si>
  <si>
    <t>ORD-1032</t>
  </si>
  <si>
    <t>ORD-1033</t>
  </si>
  <si>
    <t>ORD-1034</t>
  </si>
  <si>
    <t>ORD-1035</t>
  </si>
  <si>
    <t>ORD-1036</t>
  </si>
  <si>
    <t>ORD-1037</t>
  </si>
  <si>
    <t>ORD-1038</t>
  </si>
  <si>
    <t>ORD-1039</t>
  </si>
  <si>
    <t>Keyboard</t>
  </si>
  <si>
    <t>ORD-1040</t>
  </si>
  <si>
    <t>Desk</t>
  </si>
  <si>
    <t>ORD-1041</t>
  </si>
  <si>
    <t>ORD-1042</t>
  </si>
  <si>
    <t>Headphones</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</si>
  <si>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</si>
  <si>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</si>
  <si>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</si>
  <si>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</si>
  <si>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</si>
  <si>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</si>
  <si>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</si>
  <si>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</si>
  <si>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</si>
  <si>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</si>
  <si>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</si>
  <si>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</si>
  <si>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</si>
  <si>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</si>
  <si>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</si>
  <si>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</si>
  <si>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</si>
  <si>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</si>
  <si>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</si>
  <si>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</si>
  <si>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</si>
  <si>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</si>
  <si>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</si>
  <si>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</si>
  <si>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Accounting App</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</si>
  <si>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</si>
  <si>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</si>
  <si>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</si>
  <si>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</si>
  <si>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</si>
  <si>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</si>
  <si>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</si>
  <si>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</si>
  <si>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</si>
  <si>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</si>
  <si>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</si>
  <si>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</si>
  <si>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</si>
  <si>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</si>
  <si>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</si>
  <si>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</si>
  <si>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</si>
  <si>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</si>
  <si>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</si>
  <si>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</si>
  <si>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</si>
  <si>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</si>
  <si>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</si>
  <si>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</si>
  <si>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</si>
  <si>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</si>
  <si>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</si>
  <si>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</si>
  <si>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</si>
  <si>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</si>
  <si>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</si>
  <si>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</si>
  <si>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</si>
  <si>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</si>
  <si>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</si>
  <si>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</si>
  <si>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</si>
  <si>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</si>
  <si>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</si>
  <si>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</si>
  <si>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</si>
  <si>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</si>
  <si>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</si>
  <si>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</si>
  <si>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</si>
  <si>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</si>
  <si>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</si>
  <si>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</si>
  <si>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</si>
  <si>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</si>
  <si>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</si>
  <si>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</si>
  <si>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</si>
  <si>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</si>
  <si>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</si>
  <si>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</si>
  <si>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</si>
  <si>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</si>
  <si>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</si>
  <si>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</si>
  <si>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</si>
  <si>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</si>
  <si>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</si>
  <si>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</si>
  <si>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</si>
  <si>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</si>
  <si>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</si>
  <si>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</si>
  <si>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</si>
  <si>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</si>
  <si>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</si>
  <si>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</si>
  <si>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</si>
  <si>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</si>
  <si>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</si>
  <si>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</si>
  <si>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</si>
  <si>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</si>
  <si>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</si>
  <si>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</si>
  <si>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</si>
  <si>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</si>
  <si>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</si>
  <si>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</si>
  <si>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</si>
  <si>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</si>
  <si>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</si>
  <si>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</si>
  <si>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</si>
  <si>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</si>
  <si>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</si>
  <si>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</si>
  <si>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</si>
  <si>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</si>
  <si>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</si>
  <si>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</si>
  <si>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</si>
  <si>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</si>
  <si>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</si>
  <si>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</si>
  <si>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</si>
  <si>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</si>
  <si>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</si>
  <si>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</si>
  <si>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</si>
  <si>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</si>
  <si>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</si>
  <si>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</si>
  <si>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</si>
  <si>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</si>
  <si>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</si>
  <si>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</si>
  <si>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</si>
  <si>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</si>
  <si>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</si>
  <si>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</si>
  <si>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</si>
  <si>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</si>
  <si>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</si>
  <si>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</si>
  <si>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</si>
  <si>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</si>
  <si>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</si>
  <si>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</si>
  <si>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</si>
  <si>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</si>
  <si>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</si>
  <si>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</si>
  <si>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</si>
  <si>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</si>
  <si>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</si>
  <si>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</si>
  <si>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</si>
  <si>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</si>
  <si>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Row Labels</t>
  </si>
  <si>
    <t>Grand Total</t>
  </si>
  <si>
    <t>Column Labels</t>
  </si>
  <si>
    <t>Sum of Revenue</t>
  </si>
  <si>
    <t>Jan</t>
  </si>
  <si>
    <t>Feb</t>
  </si>
  <si>
    <t>Mar</t>
  </si>
  <si>
    <t>Apr</t>
  </si>
  <si>
    <t>May</t>
  </si>
  <si>
    <t>Jun</t>
  </si>
  <si>
    <t>Jul</t>
  </si>
  <si>
    <t>Aug</t>
  </si>
  <si>
    <t>Sep</t>
  </si>
  <si>
    <t>Oct</t>
  </si>
  <si>
    <t>Nov</t>
  </si>
  <si>
    <t>Dec</t>
  </si>
  <si>
    <t>Count of OrderID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</si>
</sst>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00"/>
    <numFmt numFmtId="170" formatCode="&quot;$&quot;#,##0"/>
  </numFmts>
  <fonts count="3" x14ac:knownFonts="1">
    <font>
      <sz val="11"/>
      <color theme="1"/>
      <name val="Century Gothic"/>
      <family val="2"/>
      <scheme val="minor"/>
    </font>
    <font>
      <b/>
      <sz val="11"/>
      <color rgb="FFFFFFFF"/>
      <name val="Arial"/>
      <family val="2"/>
    </font>
    <font>
      <sz val="10"/>
      <name val="Arial"/>
      <family val="2"/>
    </font>
  </fonts>
  <fills count="5">
    <fill>
      <patternFill patternType="none"/>
    </fill>
    <fill>
      <patternFill patternType="gray125"/>
    </fill>
    <fill>
      <patternFill patternType="solid">
        <fgColor rgb="FF1F3864"/>
        <bgColor rgb="FF333399"/>
      </patternFill>
    </fill>
    <fill>
      <patternFill patternType="solid">
        <fgColor rgb="FFFFFFFF"/>
        <bgColor rgb="FFF2F2F2"/>
      </patternFill>
    </fill>
    <fill>
      <patternFill patternType="solid">
        <fgColor rgb="FFF2F2F2"/>
        <bgColor rgb="FFE2EFDA"/>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36">
    <xf numFmtId="0" fontId="0" fillId="0" borderId="0" xfId="0"/>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2" fillId="3" borderId="5" xfId="0" applyFont="1" applyFill="1" applyBorder="1" applyAlignment="1">
      <alignment vertical="center"/>
    </xf>
    <xf numFmtId="164" fontId="2" fillId="3" borderId="1" xfId="0" applyNumberFormat="1" applyFont="1" applyFill="1" applyBorder="1" applyAlignment="1">
      <alignment vertical="center"/>
    </xf>
    <xf numFmtId="0" fontId="2" fillId="3" borderId="1" xfId="0" applyFont="1" applyFill="1" applyBorder="1" applyAlignment="1">
      <alignment vertical="center"/>
    </xf>
    <xf numFmtId="165" fontId="2" fillId="3" borderId="1" xfId="0" applyNumberFormat="1" applyFont="1" applyFill="1" applyBorder="1" applyAlignment="1">
      <alignment vertical="center"/>
    </xf>
    <xf numFmtId="9" fontId="2" fillId="3" borderId="1" xfId="0" applyNumberFormat="1" applyFont="1" applyFill="1" applyBorder="1" applyAlignment="1">
      <alignment vertical="center"/>
    </xf>
    <xf numFmtId="165" fontId="2" fillId="3" borderId="6" xfId="0" applyNumberFormat="1" applyFont="1" applyFill="1" applyBorder="1" applyAlignment="1">
      <alignment vertical="center"/>
    </xf>
    <xf numFmtId="0" fontId="2" fillId="4" borderId="5" xfId="0" applyFont="1" applyFill="1" applyBorder="1" applyAlignment="1">
      <alignment vertical="center"/>
    </xf>
    <xf numFmtId="164" fontId="2" fillId="4" borderId="1" xfId="0" applyNumberFormat="1" applyFont="1" applyFill="1" applyBorder="1" applyAlignment="1">
      <alignment vertical="center"/>
    </xf>
    <xf numFmtId="0" fontId="2" fillId="4" borderId="1" xfId="0" applyFont="1" applyFill="1" applyBorder="1" applyAlignment="1">
      <alignment vertical="center"/>
    </xf>
    <xf numFmtId="165" fontId="2" fillId="4" borderId="1" xfId="0" applyNumberFormat="1" applyFont="1" applyFill="1" applyBorder="1" applyAlignment="1">
      <alignment vertical="center"/>
    </xf>
    <xf numFmtId="9" fontId="2" fillId="4" borderId="1" xfId="0" applyNumberFormat="1" applyFont="1" applyFill="1" applyBorder="1" applyAlignment="1">
      <alignment vertical="center"/>
    </xf>
    <xf numFmtId="165" fontId="2" fillId="4" borderId="6" xfId="0" applyNumberFormat="1" applyFont="1" applyFill="1" applyBorder="1" applyAlignment="1">
      <alignment vertical="center"/>
    </xf>
    <xf numFmtId="0" fontId="2" fillId="4" borderId="7" xfId="0" applyFont="1" applyFill="1" applyBorder="1" applyAlignment="1">
      <alignment vertical="center"/>
    </xf>
    <xf numFmtId="164" fontId="2" fillId="4" borderId="8" xfId="0" applyNumberFormat="1" applyFont="1" applyFill="1" applyBorder="1" applyAlignment="1">
      <alignment vertical="center"/>
    </xf>
    <xf numFmtId="0" fontId="2" fillId="4" borderId="8" xfId="0" applyFont="1" applyFill="1" applyBorder="1" applyAlignment="1">
      <alignment vertical="center"/>
    </xf>
    <xf numFmtId="165" fontId="2" fillId="4" borderId="8" xfId="0" applyNumberFormat="1" applyFont="1" applyFill="1" applyBorder="1" applyAlignment="1">
      <alignment vertical="center"/>
    </xf>
    <xf numFmtId="9" fontId="2" fillId="4" borderId="8" xfId="0" applyNumberFormat="1" applyFont="1" applyFill="1" applyBorder="1" applyAlignment="1">
      <alignment vertical="center"/>
    </xf>
    <xf numFmtId="165" fontId="2" fillId="4" borderId="9" xfId="0" applyNumberFormat="1" applyFont="1" applyFill="1" applyBorder="1" applyAlignment="1">
      <alignmen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165" fontId="0" fillId="0" borderId="0" xfId="0" applyNumberFormat="1"/>
    <xf numFmtId="170" fontId="0" fillId="0" borderId="0" xfId="0" applyNumberFormat="1"/>
    <xf numFmtId="0" fontId="0" fillId="0" borderId="0" xfId="0" applyNumberFormat="1"/>
  </cellXfs>
  <cellStyles count="1">
    <cellStyle name="Normal" xfId="0" builtinId="0"/>
  </cellStyles>
  <dxfs count="46">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 Excel.xlsx]Region!PivotTable2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Berlin Sans FB Demi" panose="020E0802020502020306" pitchFamily="34" charset="0"/>
              </a:rPr>
              <a:t>Revenue By</a:t>
            </a:r>
            <a:r>
              <a:rPr lang="en-US" baseline="0">
                <a:latin typeface="Berlin Sans FB Demi" panose="020E0802020502020306" pitchFamily="34" charset="0"/>
              </a:rPr>
              <a:t> Region of each Categories</a:t>
            </a:r>
            <a:endParaRPr lang="en-US">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Region!$B$3:$B$4</c:f>
              <c:strCache>
                <c:ptCount val="1"/>
                <c:pt idx="0">
                  <c:v>Electronics</c:v>
                </c:pt>
              </c:strCache>
            </c:strRef>
          </c:tx>
          <c:spPr>
            <a:solidFill>
              <a:schemeClr val="accent1"/>
            </a:solidFill>
            <a:ln>
              <a:noFill/>
            </a:ln>
            <a:effectLst/>
            <a:sp3d/>
          </c:spPr>
          <c:invertIfNegative val="0"/>
          <c:cat>
            <c:strRef>
              <c:f>Region!$A$5:$A$9</c:f>
              <c:strCache>
                <c:ptCount val="4"/>
                <c:pt idx="0">
                  <c:v>East</c:v>
                </c:pt>
                <c:pt idx="1">
                  <c:v>North</c:v>
                </c:pt>
                <c:pt idx="2">
                  <c:v>South</c:v>
                </c:pt>
                <c:pt idx="3">
                  <c:v>West</c:v>
                </c:pt>
              </c:strCache>
            </c:strRef>
          </c:cat>
          <c:val>
            <c:numRef>
              <c:f>Region!$B$5:$B$9</c:f>
              <c:numCache>
                <c:formatCode>"$"#,##0</c:formatCode>
                <c:ptCount val="4"/>
                <c:pt idx="0">
                  <c:v>96420</c:v>
                </c:pt>
                <c:pt idx="1">
                  <c:v>22215.25</c:v>
                </c:pt>
                <c:pt idx="2">
                  <c:v>62159.5</c:v>
                </c:pt>
                <c:pt idx="3">
                  <c:v>100396</c:v>
                </c:pt>
              </c:numCache>
            </c:numRef>
          </c:val>
          <c:extLst>
            <c:ext xmlns:c16="http://schemas.microsoft.com/office/drawing/2014/chart" uri="{C3380CC4-5D6E-409C-BE32-E72D297353CC}">
              <c16:uniqueId val="{00000000-6120-4421-837C-FAE4ECBDBAF3}"/>
            </c:ext>
          </c:extLst>
        </c:ser>
        <c:ser>
          <c:idx val="1"/>
          <c:order val="1"/>
          <c:tx>
            <c:strRef>
              <c:f>Region!$C$3:$C$4</c:f>
              <c:strCache>
                <c:ptCount val="1"/>
                <c:pt idx="0">
                  <c:v>Furniture</c:v>
                </c:pt>
              </c:strCache>
            </c:strRef>
          </c:tx>
          <c:spPr>
            <a:solidFill>
              <a:schemeClr val="accent2"/>
            </a:solidFill>
            <a:ln>
              <a:noFill/>
            </a:ln>
            <a:effectLst/>
            <a:sp3d/>
          </c:spPr>
          <c:invertIfNegative val="0"/>
          <c:cat>
            <c:strRef>
              <c:f>Region!$A$5:$A$9</c:f>
              <c:strCache>
                <c:ptCount val="4"/>
                <c:pt idx="0">
                  <c:v>East</c:v>
                </c:pt>
                <c:pt idx="1">
                  <c:v>North</c:v>
                </c:pt>
                <c:pt idx="2">
                  <c:v>South</c:v>
                </c:pt>
                <c:pt idx="3">
                  <c:v>West</c:v>
                </c:pt>
              </c:strCache>
            </c:strRef>
          </c:cat>
          <c:val>
            <c:numRef>
              <c:f>Region!$C$5:$C$9</c:f>
              <c:numCache>
                <c:formatCode>"$"#,##0</c:formatCode>
                <c:ptCount val="4"/>
                <c:pt idx="0">
                  <c:v>22487</c:v>
                </c:pt>
                <c:pt idx="1">
                  <c:v>18907.5</c:v>
                </c:pt>
                <c:pt idx="2">
                  <c:v>7219.5</c:v>
                </c:pt>
                <c:pt idx="3">
                  <c:v>21578</c:v>
                </c:pt>
              </c:numCache>
            </c:numRef>
          </c:val>
          <c:extLst>
            <c:ext xmlns:c16="http://schemas.microsoft.com/office/drawing/2014/chart" uri="{C3380CC4-5D6E-409C-BE32-E72D297353CC}">
              <c16:uniqueId val="{0000000C-6120-4421-837C-FAE4ECBDBAF3}"/>
            </c:ext>
          </c:extLst>
        </c:ser>
        <c:ser>
          <c:idx val="2"/>
          <c:order val="2"/>
          <c:tx>
            <c:strRef>
              <c:f>Region!$D$3:$D$4</c:f>
              <c:strCache>
                <c:ptCount val="1"/>
                <c:pt idx="0">
                  <c:v>Software</c:v>
                </c:pt>
              </c:strCache>
            </c:strRef>
          </c:tx>
          <c:spPr>
            <a:solidFill>
              <a:schemeClr val="accent3"/>
            </a:solidFill>
            <a:ln>
              <a:noFill/>
            </a:ln>
            <a:effectLst/>
            <a:sp3d/>
          </c:spPr>
          <c:invertIfNegative val="0"/>
          <c:cat>
            <c:strRef>
              <c:f>Region!$A$5:$A$9</c:f>
              <c:strCache>
                <c:ptCount val="4"/>
                <c:pt idx="0">
                  <c:v>East</c:v>
                </c:pt>
                <c:pt idx="1">
                  <c:v>North</c:v>
                </c:pt>
                <c:pt idx="2">
                  <c:v>South</c:v>
                </c:pt>
                <c:pt idx="3">
                  <c:v>West</c:v>
                </c:pt>
              </c:strCache>
            </c:strRef>
          </c:cat>
          <c:val>
            <c:numRef>
              <c:f>Region!$D$5:$D$9</c:f>
              <c:numCache>
                <c:formatCode>"$"#,##0</c:formatCode>
                <c:ptCount val="4"/>
                <c:pt idx="0">
                  <c:v>30400</c:v>
                </c:pt>
                <c:pt idx="1">
                  <c:v>55000</c:v>
                </c:pt>
                <c:pt idx="2">
                  <c:v>55174.5</c:v>
                </c:pt>
                <c:pt idx="3">
                  <c:v>35445</c:v>
                </c:pt>
              </c:numCache>
            </c:numRef>
          </c:val>
          <c:extLst>
            <c:ext xmlns:c16="http://schemas.microsoft.com/office/drawing/2014/chart" uri="{C3380CC4-5D6E-409C-BE32-E72D297353CC}">
              <c16:uniqueId val="{0000000D-6120-4421-837C-FAE4ECBDBAF3}"/>
            </c:ext>
          </c:extLst>
        </c:ser>
        <c:ser>
          <c:idx val="3"/>
          <c:order val="3"/>
          <c:tx>
            <c:strRef>
              <c:f>Region!$E$3:$E$4</c:f>
              <c:strCache>
                <c:ptCount val="1"/>
                <c:pt idx="0">
                  <c:v>Stationery</c:v>
                </c:pt>
              </c:strCache>
            </c:strRef>
          </c:tx>
          <c:spPr>
            <a:solidFill>
              <a:schemeClr val="accent4"/>
            </a:solidFill>
            <a:ln>
              <a:noFill/>
            </a:ln>
            <a:effectLst/>
            <a:sp3d/>
          </c:spPr>
          <c:invertIfNegative val="0"/>
          <c:cat>
            <c:strRef>
              <c:f>Region!$A$5:$A$9</c:f>
              <c:strCache>
                <c:ptCount val="4"/>
                <c:pt idx="0">
                  <c:v>East</c:v>
                </c:pt>
                <c:pt idx="1">
                  <c:v>North</c:v>
                </c:pt>
                <c:pt idx="2">
                  <c:v>South</c:v>
                </c:pt>
                <c:pt idx="3">
                  <c:v>West</c:v>
                </c:pt>
              </c:strCache>
            </c:strRef>
          </c:cat>
          <c:val>
            <c:numRef>
              <c:f>Region!$E$5:$E$9</c:f>
              <c:numCache>
                <c:formatCode>"$"#,##0</c:formatCode>
                <c:ptCount val="4"/>
                <c:pt idx="0">
                  <c:v>1353.8500000000001</c:v>
                </c:pt>
                <c:pt idx="1">
                  <c:v>616.9</c:v>
                </c:pt>
                <c:pt idx="2">
                  <c:v>1546.8000000000002</c:v>
                </c:pt>
                <c:pt idx="3">
                  <c:v>892.8</c:v>
                </c:pt>
              </c:numCache>
            </c:numRef>
          </c:val>
          <c:extLst>
            <c:ext xmlns:c16="http://schemas.microsoft.com/office/drawing/2014/chart" uri="{C3380CC4-5D6E-409C-BE32-E72D297353CC}">
              <c16:uniqueId val="{0000000E-6120-4421-837C-FAE4ECBDBAF3}"/>
            </c:ext>
          </c:extLst>
        </c:ser>
        <c:dLbls>
          <c:showLegendKey val="0"/>
          <c:showVal val="0"/>
          <c:showCatName val="0"/>
          <c:showSerName val="0"/>
          <c:showPercent val="0"/>
          <c:showBubbleSize val="0"/>
        </c:dLbls>
        <c:gapWidth val="150"/>
        <c:shape val="box"/>
        <c:axId val="45502704"/>
        <c:axId val="45509904"/>
        <c:axId val="0"/>
      </c:bar3DChart>
      <c:catAx>
        <c:axId val="45502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09904"/>
        <c:crosses val="autoZero"/>
        <c:auto val="1"/>
        <c:lblAlgn val="ctr"/>
        <c:lblOffset val="100"/>
        <c:noMultiLvlLbl val="0"/>
      </c:catAx>
      <c:valAx>
        <c:axId val="455099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0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 Excel.xlsx]Region!PivotTable2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Berlin Sans FB Demi" panose="020E0802020502020306" pitchFamily="34" charset="0"/>
              </a:rPr>
              <a:t>Revenue By</a:t>
            </a:r>
            <a:r>
              <a:rPr lang="en-US" baseline="0">
                <a:latin typeface="Berlin Sans FB Demi" panose="020E0802020502020306" pitchFamily="34" charset="0"/>
              </a:rPr>
              <a:t> Region of each Categories</a:t>
            </a:r>
            <a:endParaRPr lang="en-US">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a:sp3d/>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a:sp3d/>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a:sp3d/>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Region!$B$3:$B$4</c:f>
              <c:strCache>
                <c:ptCount val="1"/>
                <c:pt idx="0">
                  <c:v>Electronics</c:v>
                </c:pt>
              </c:strCache>
            </c:strRef>
          </c:tx>
          <c:spPr>
            <a:solidFill>
              <a:schemeClr val="accent1"/>
            </a:solidFill>
            <a:ln>
              <a:noFill/>
            </a:ln>
            <a:effectLst/>
            <a:sp3d/>
          </c:spPr>
          <c:invertIfNegative val="0"/>
          <c:cat>
            <c:strRef>
              <c:f>Region!$A$5:$A$9</c:f>
              <c:strCache>
                <c:ptCount val="4"/>
                <c:pt idx="0">
                  <c:v>East</c:v>
                </c:pt>
                <c:pt idx="1">
                  <c:v>North</c:v>
                </c:pt>
                <c:pt idx="2">
                  <c:v>South</c:v>
                </c:pt>
                <c:pt idx="3">
                  <c:v>West</c:v>
                </c:pt>
              </c:strCache>
            </c:strRef>
          </c:cat>
          <c:val>
            <c:numRef>
              <c:f>Region!$B$5:$B$9</c:f>
              <c:numCache>
                <c:formatCode>"$"#,##0</c:formatCode>
                <c:ptCount val="4"/>
                <c:pt idx="0">
                  <c:v>96420</c:v>
                </c:pt>
                <c:pt idx="1">
                  <c:v>22215.25</c:v>
                </c:pt>
                <c:pt idx="2">
                  <c:v>62159.5</c:v>
                </c:pt>
                <c:pt idx="3">
                  <c:v>100396</c:v>
                </c:pt>
              </c:numCache>
            </c:numRef>
          </c:val>
          <c:extLst>
            <c:ext xmlns:c16="http://schemas.microsoft.com/office/drawing/2014/chart" uri="{C3380CC4-5D6E-409C-BE32-E72D297353CC}">
              <c16:uniqueId val="{00000000-6C72-42DA-B21C-4E68C0C62DD7}"/>
            </c:ext>
          </c:extLst>
        </c:ser>
        <c:ser>
          <c:idx val="1"/>
          <c:order val="1"/>
          <c:tx>
            <c:strRef>
              <c:f>Region!$C$3:$C$4</c:f>
              <c:strCache>
                <c:ptCount val="1"/>
                <c:pt idx="0">
                  <c:v>Furniture</c:v>
                </c:pt>
              </c:strCache>
            </c:strRef>
          </c:tx>
          <c:spPr>
            <a:solidFill>
              <a:schemeClr val="accent2"/>
            </a:solidFill>
            <a:ln>
              <a:noFill/>
            </a:ln>
            <a:effectLst/>
            <a:sp3d/>
          </c:spPr>
          <c:invertIfNegative val="0"/>
          <c:cat>
            <c:strRef>
              <c:f>Region!$A$5:$A$9</c:f>
              <c:strCache>
                <c:ptCount val="4"/>
                <c:pt idx="0">
                  <c:v>East</c:v>
                </c:pt>
                <c:pt idx="1">
                  <c:v>North</c:v>
                </c:pt>
                <c:pt idx="2">
                  <c:v>South</c:v>
                </c:pt>
                <c:pt idx="3">
                  <c:v>West</c:v>
                </c:pt>
              </c:strCache>
            </c:strRef>
          </c:cat>
          <c:val>
            <c:numRef>
              <c:f>Region!$C$5:$C$9</c:f>
              <c:numCache>
                <c:formatCode>"$"#,##0</c:formatCode>
                <c:ptCount val="4"/>
                <c:pt idx="0">
                  <c:v>22487</c:v>
                </c:pt>
                <c:pt idx="1">
                  <c:v>18907.5</c:v>
                </c:pt>
                <c:pt idx="2">
                  <c:v>7219.5</c:v>
                </c:pt>
                <c:pt idx="3">
                  <c:v>21578</c:v>
                </c:pt>
              </c:numCache>
            </c:numRef>
          </c:val>
          <c:extLst>
            <c:ext xmlns:c16="http://schemas.microsoft.com/office/drawing/2014/chart" uri="{C3380CC4-5D6E-409C-BE32-E72D297353CC}">
              <c16:uniqueId val="{00000011-6C72-42DA-B21C-4E68C0C62DD7}"/>
            </c:ext>
          </c:extLst>
        </c:ser>
        <c:ser>
          <c:idx val="2"/>
          <c:order val="2"/>
          <c:tx>
            <c:strRef>
              <c:f>Region!$D$3:$D$4</c:f>
              <c:strCache>
                <c:ptCount val="1"/>
                <c:pt idx="0">
                  <c:v>Software</c:v>
                </c:pt>
              </c:strCache>
            </c:strRef>
          </c:tx>
          <c:spPr>
            <a:solidFill>
              <a:schemeClr val="accent3"/>
            </a:solidFill>
            <a:ln>
              <a:noFill/>
            </a:ln>
            <a:effectLst/>
            <a:sp3d/>
          </c:spPr>
          <c:invertIfNegative val="0"/>
          <c:cat>
            <c:strRef>
              <c:f>Region!$A$5:$A$9</c:f>
              <c:strCache>
                <c:ptCount val="4"/>
                <c:pt idx="0">
                  <c:v>East</c:v>
                </c:pt>
                <c:pt idx="1">
                  <c:v>North</c:v>
                </c:pt>
                <c:pt idx="2">
                  <c:v>South</c:v>
                </c:pt>
                <c:pt idx="3">
                  <c:v>West</c:v>
                </c:pt>
              </c:strCache>
            </c:strRef>
          </c:cat>
          <c:val>
            <c:numRef>
              <c:f>Region!$D$5:$D$9</c:f>
              <c:numCache>
                <c:formatCode>"$"#,##0</c:formatCode>
                <c:ptCount val="4"/>
                <c:pt idx="0">
                  <c:v>30400</c:v>
                </c:pt>
                <c:pt idx="1">
                  <c:v>55000</c:v>
                </c:pt>
                <c:pt idx="2">
                  <c:v>55174.5</c:v>
                </c:pt>
                <c:pt idx="3">
                  <c:v>35445</c:v>
                </c:pt>
              </c:numCache>
            </c:numRef>
          </c:val>
          <c:extLst>
            <c:ext xmlns:c16="http://schemas.microsoft.com/office/drawing/2014/chart" uri="{C3380CC4-5D6E-409C-BE32-E72D297353CC}">
              <c16:uniqueId val="{00000012-6C72-42DA-B21C-4E68C0C62DD7}"/>
            </c:ext>
          </c:extLst>
        </c:ser>
        <c:ser>
          <c:idx val="3"/>
          <c:order val="3"/>
          <c:tx>
            <c:strRef>
              <c:f>Region!$E$3:$E$4</c:f>
              <c:strCache>
                <c:ptCount val="1"/>
                <c:pt idx="0">
                  <c:v>Stationery</c:v>
                </c:pt>
              </c:strCache>
            </c:strRef>
          </c:tx>
          <c:spPr>
            <a:solidFill>
              <a:schemeClr val="accent4"/>
            </a:solidFill>
            <a:ln>
              <a:noFill/>
            </a:ln>
            <a:effectLst/>
            <a:sp3d/>
          </c:spPr>
          <c:invertIfNegative val="0"/>
          <c:cat>
            <c:strRef>
              <c:f>Region!$A$5:$A$9</c:f>
              <c:strCache>
                <c:ptCount val="4"/>
                <c:pt idx="0">
                  <c:v>East</c:v>
                </c:pt>
                <c:pt idx="1">
                  <c:v>North</c:v>
                </c:pt>
                <c:pt idx="2">
                  <c:v>South</c:v>
                </c:pt>
                <c:pt idx="3">
                  <c:v>West</c:v>
                </c:pt>
              </c:strCache>
            </c:strRef>
          </c:cat>
          <c:val>
            <c:numRef>
              <c:f>Region!$E$5:$E$9</c:f>
              <c:numCache>
                <c:formatCode>"$"#,##0</c:formatCode>
                <c:ptCount val="4"/>
                <c:pt idx="0">
                  <c:v>1353.8500000000001</c:v>
                </c:pt>
                <c:pt idx="1">
                  <c:v>616.9</c:v>
                </c:pt>
                <c:pt idx="2">
                  <c:v>1546.8000000000002</c:v>
                </c:pt>
                <c:pt idx="3">
                  <c:v>892.8</c:v>
                </c:pt>
              </c:numCache>
            </c:numRef>
          </c:val>
          <c:extLst>
            <c:ext xmlns:c16="http://schemas.microsoft.com/office/drawing/2014/chart" uri="{C3380CC4-5D6E-409C-BE32-E72D297353CC}">
              <c16:uniqueId val="{00000013-6C72-42DA-B21C-4E68C0C62DD7}"/>
            </c:ext>
          </c:extLst>
        </c:ser>
        <c:dLbls>
          <c:showLegendKey val="0"/>
          <c:showVal val="0"/>
          <c:showCatName val="0"/>
          <c:showSerName val="0"/>
          <c:showPercent val="0"/>
          <c:showBubbleSize val="0"/>
        </c:dLbls>
        <c:gapWidth val="150"/>
        <c:shape val="box"/>
        <c:axId val="45502704"/>
        <c:axId val="45509904"/>
        <c:axId val="0"/>
      </c:bar3DChart>
      <c:catAx>
        <c:axId val="45502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09904"/>
        <c:crosses val="autoZero"/>
        <c:auto val="1"/>
        <c:lblAlgn val="ctr"/>
        <c:lblOffset val="100"/>
        <c:noMultiLvlLbl val="0"/>
      </c:catAx>
      <c:valAx>
        <c:axId val="455099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0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 Excel.xlsx]Sheet2 (2)!PivotTable2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Berlin Sans FB Demi" panose="020E0802020502020306" pitchFamily="34" charset="0"/>
              </a:rPr>
              <a:t>Revenue Each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 (2)'!$B$3</c:f>
              <c:strCache>
                <c:ptCount val="1"/>
                <c:pt idx="0">
                  <c:v>Total</c:v>
                </c:pt>
              </c:strCache>
            </c:strRef>
          </c:tx>
          <c:spPr>
            <a:ln w="28575" cap="rnd">
              <a:solidFill>
                <a:schemeClr val="accent1"/>
              </a:solidFill>
              <a:round/>
            </a:ln>
            <a:effectLst/>
          </c:spPr>
          <c:marker>
            <c:symbol val="none"/>
          </c:marker>
          <c:cat>
            <c:strRef>
              <c:f>'Sheet2 (2)'!$A$4:$A$16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 (2)'!$B$4:$B$16</c:f>
              <c:numCache>
                <c:formatCode>\$#,##0.00</c:formatCode>
                <c:ptCount val="12"/>
                <c:pt idx="0">
                  <c:v>79029</c:v>
                </c:pt>
                <c:pt idx="1">
                  <c:v>37618.5</c:v>
                </c:pt>
                <c:pt idx="2">
                  <c:v>21769</c:v>
                </c:pt>
                <c:pt idx="3">
                  <c:v>42614</c:v>
                </c:pt>
                <c:pt idx="4">
                  <c:v>15763.65</c:v>
                </c:pt>
                <c:pt idx="5">
                  <c:v>27494.5</c:v>
                </c:pt>
                <c:pt idx="6">
                  <c:v>48210</c:v>
                </c:pt>
                <c:pt idx="7">
                  <c:v>30759.3</c:v>
                </c:pt>
                <c:pt idx="8">
                  <c:v>52186.55</c:v>
                </c:pt>
                <c:pt idx="9">
                  <c:v>59013.899999999994</c:v>
                </c:pt>
                <c:pt idx="10">
                  <c:v>76587.600000000006</c:v>
                </c:pt>
                <c:pt idx="11">
                  <c:v>40766.6</c:v>
                </c:pt>
              </c:numCache>
            </c:numRef>
          </c:val>
          <c:smooth val="0"/>
          <c:extLst>
            <c:ext xmlns:c16="http://schemas.microsoft.com/office/drawing/2014/chart" uri="{C3380CC4-5D6E-409C-BE32-E72D297353CC}">
              <c16:uniqueId val="{00000000-D5C6-494E-8874-4B57B5833618}"/>
            </c:ext>
          </c:extLst>
        </c:ser>
        <c:dLbls>
          <c:showLegendKey val="0"/>
          <c:showVal val="0"/>
          <c:showCatName val="0"/>
          <c:showSerName val="0"/>
          <c:showPercent val="0"/>
          <c:showBubbleSize val="0"/>
        </c:dLbls>
        <c:smooth val="0"/>
        <c:axId val="184552448"/>
        <c:axId val="184553888"/>
      </c:lineChart>
      <c:catAx>
        <c:axId val="18455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53888"/>
        <c:crosses val="autoZero"/>
        <c:auto val="1"/>
        <c:lblAlgn val="ctr"/>
        <c:lblOffset val="100"/>
        <c:noMultiLvlLbl val="0"/>
      </c:catAx>
      <c:valAx>
        <c:axId val="1845538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5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 Excel.xlsx]Sheet2 (3)!PivotTable2</c:name>
    <c:fmtId val="5"/>
  </c:pivotSource>
  <c:chart>
    <c:title>
      <c:tx>
        <c:rich>
          <a:bodyPr rot="0" spcFirstLastPara="1" vertOverflow="ellipsis" vert="horz" wrap="square" anchor="ctr" anchorCtr="1"/>
          <a:lstStyle/>
          <a:p>
            <a:pPr algn="ctr" rtl="0">
              <a:defRPr lang="en-US" sz="1400" b="0" i="0" u="none" strike="noStrike" kern="1200" cap="none" spc="0" baseline="0">
                <a:solidFill>
                  <a:sysClr val="windowText" lastClr="000000">
                    <a:lumMod val="65000"/>
                    <a:lumOff val="35000"/>
                  </a:sysClr>
                </a:solidFill>
                <a:latin typeface="Berlin Sans FB Demi" panose="020E0802020502020306" pitchFamily="34" charset="0"/>
                <a:ea typeface="+mn-ea"/>
                <a:cs typeface="+mn-cs"/>
              </a:defRPr>
            </a:pPr>
            <a:r>
              <a:rPr lang="en-US" sz="1400" b="0" i="0" u="none" strike="noStrike" kern="1200" cap="none" spc="0" baseline="0">
                <a:solidFill>
                  <a:sysClr val="windowText" lastClr="000000">
                    <a:lumMod val="65000"/>
                    <a:lumOff val="35000"/>
                  </a:sysClr>
                </a:solidFill>
                <a:latin typeface="Berlin Sans FB Demi" panose="020E0802020502020306" pitchFamily="34" charset="0"/>
                <a:ea typeface="+mn-ea"/>
                <a:cs typeface="+mn-cs"/>
              </a:rPr>
              <a:t>Total Revenue of each Rep</a:t>
            </a:r>
          </a:p>
        </c:rich>
      </c:tx>
      <c:overlay val="0"/>
      <c:spPr>
        <a:noFill/>
        <a:ln>
          <a:noFill/>
        </a:ln>
        <a:effectLst/>
      </c:spPr>
      <c:txPr>
        <a:bodyPr rot="0" spcFirstLastPara="1" vertOverflow="ellipsis" vert="horz" wrap="square" anchor="ctr" anchorCtr="1"/>
        <a:lstStyle/>
        <a:p>
          <a:pPr algn="ctr" rtl="0">
            <a:defRPr lang="en-US" sz="1400" b="0" i="0" u="none" strike="noStrike" kern="1200" cap="none" spc="0" baseline="0">
              <a:solidFill>
                <a:sysClr val="windowText" lastClr="000000">
                  <a:lumMod val="65000"/>
                  <a:lumOff val="35000"/>
                </a:sysClr>
              </a:solidFill>
              <a:latin typeface="Berlin Sans FB Demi" panose="020E0802020502020306" pitchFamily="34" charset="0"/>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'Sheet2 (3)'!$B$3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B79-4A86-ABBD-81FDCD4916A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B79-4A86-ABBD-81FDCD4916A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B79-4A86-ABBD-81FDCD4916A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B79-4A86-ABBD-81FDCD4916A8}"/>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1B79-4A86-ABBD-81FDCD4916A8}"/>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1B79-4A86-ABBD-81FDCD4916A8}"/>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1B79-4A86-ABBD-81FDCD4916A8}"/>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1B79-4A86-ABBD-81FDCD4916A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 (3)'!$A$4:$A$12</c:f>
              <c:strCache>
                <c:ptCount val="8"/>
                <c:pt idx="0">
                  <c:v>Alice</c:v>
                </c:pt>
                <c:pt idx="1">
                  <c:v>Bob</c:v>
                </c:pt>
                <c:pt idx="2">
                  <c:v>Carlos</c:v>
                </c:pt>
                <c:pt idx="3">
                  <c:v>Diana</c:v>
                </c:pt>
                <c:pt idx="4">
                  <c:v>Ethan</c:v>
                </c:pt>
                <c:pt idx="5">
                  <c:v>Fiona</c:v>
                </c:pt>
                <c:pt idx="6">
                  <c:v>George</c:v>
                </c:pt>
                <c:pt idx="7">
                  <c:v>Hannah</c:v>
                </c:pt>
              </c:strCache>
            </c:strRef>
          </c:cat>
          <c:val>
            <c:numRef>
              <c:f>'Sheet2 (3)'!$B$4:$B$12</c:f>
              <c:numCache>
                <c:formatCode>\$#,##0.00</c:formatCode>
                <c:ptCount val="8"/>
                <c:pt idx="0">
                  <c:v>59379.95</c:v>
                </c:pt>
                <c:pt idx="1">
                  <c:v>51256.600000000006</c:v>
                </c:pt>
                <c:pt idx="2">
                  <c:v>104597.25</c:v>
                </c:pt>
                <c:pt idx="3">
                  <c:v>51505.9</c:v>
                </c:pt>
                <c:pt idx="4">
                  <c:v>58027.700000000004</c:v>
                </c:pt>
                <c:pt idx="5">
                  <c:v>69297.7</c:v>
                </c:pt>
                <c:pt idx="6">
                  <c:v>72017.7</c:v>
                </c:pt>
                <c:pt idx="7">
                  <c:v>65729.8</c:v>
                </c:pt>
              </c:numCache>
            </c:numRef>
          </c:val>
          <c:extLst>
            <c:ext xmlns:c16="http://schemas.microsoft.com/office/drawing/2014/chart" uri="{C3380CC4-5D6E-409C-BE32-E72D297353CC}">
              <c16:uniqueId val="{00000010-1B79-4A86-ABBD-81FDCD4916A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 Excel.xlsx]Sheet2 (4)!PivotTable2</c:name>
    <c:fmtId val="3"/>
  </c:pivotSource>
  <c:chart>
    <c:title>
      <c:tx>
        <c:rich>
          <a:bodyPr rot="0" spcFirstLastPara="1" vertOverflow="ellipsis" vert="horz" wrap="square" anchor="ctr" anchorCtr="1"/>
          <a:lstStyle/>
          <a:p>
            <a:pPr algn="ctr" rtl="0">
              <a:defRPr lang="en-US" sz="1400" b="0" i="0" u="none" strike="noStrike" kern="1200" cap="none" spc="0" baseline="0">
                <a:solidFill>
                  <a:sysClr val="windowText" lastClr="000000">
                    <a:lumMod val="65000"/>
                    <a:lumOff val="35000"/>
                  </a:sysClr>
                </a:solidFill>
                <a:latin typeface="Berlin Sans FB Demi" panose="020E0802020502020306" pitchFamily="34" charset="0"/>
                <a:ea typeface="+mn-ea"/>
                <a:cs typeface="+mn-cs"/>
              </a:defRPr>
            </a:pPr>
            <a:r>
              <a:rPr lang="en-US" sz="1400" b="0" i="0" u="none" strike="noStrike" kern="1200" spc="0" baseline="0">
                <a:solidFill>
                  <a:sysClr val="windowText" lastClr="000000">
                    <a:lumMod val="65000"/>
                    <a:lumOff val="35000"/>
                  </a:sysClr>
                </a:solidFill>
                <a:latin typeface="Berlin Sans FB Demi" panose="020E0802020502020306" pitchFamily="34" charset="0"/>
                <a:ea typeface="+mn-ea"/>
                <a:cs typeface="+mn-cs"/>
              </a:rPr>
              <a:t>Total of each product</a:t>
            </a:r>
          </a:p>
        </c:rich>
      </c:tx>
      <c:overlay val="0"/>
      <c:spPr>
        <a:noFill/>
        <a:ln>
          <a:noFill/>
        </a:ln>
        <a:effectLst/>
      </c:spPr>
      <c:txPr>
        <a:bodyPr rot="0" spcFirstLastPara="1" vertOverflow="ellipsis" vert="horz" wrap="square" anchor="ctr" anchorCtr="1"/>
        <a:lstStyle/>
        <a:p>
          <a:pPr algn="ctr" rtl="0">
            <a:defRPr lang="en-US" sz="1400" b="0" i="0" u="none" strike="noStrike" kern="1200" cap="none" spc="0" baseline="0">
              <a:solidFill>
                <a:sysClr val="windowText" lastClr="000000">
                  <a:lumMod val="65000"/>
                  <a:lumOff val="35000"/>
                </a:sysClr>
              </a:solidFill>
              <a:latin typeface="Berlin Sans FB Demi" panose="020E0802020502020306" pitchFamily="34" charset="0"/>
              <a:ea typeface="+mn-ea"/>
              <a:cs typeface="+mn-cs"/>
            </a:defRPr>
          </a:pPr>
          <a:endParaRPr lang="en-US"/>
        </a:p>
      </c:txPr>
    </c:title>
    <c:autoTitleDeleted val="0"/>
    <c:pivotFmts>
      <c:pivotFmt>
        <c:idx val="0"/>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circle"/>
          <c:size val="6"/>
          <c:spPr>
            <a:solidFill>
              <a:schemeClr val="accent1">
                <a:alpha val="70000"/>
              </a:schemeClr>
            </a:solidFill>
            <a:ln>
              <a:solidFill>
                <a:schemeClr val="accent1">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 (4)'!$B$3</c:f>
              <c:strCache>
                <c:ptCount val="1"/>
                <c:pt idx="0">
                  <c:v>Total</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Ref>
              <c:f>'Sheet2 (4)'!$A$4:$A$24</c:f>
              <c:strCache>
                <c:ptCount val="20"/>
                <c:pt idx="0">
                  <c:v>Accounting App</c:v>
                </c:pt>
                <c:pt idx="1">
                  <c:v>Antivirus</c:v>
                </c:pt>
                <c:pt idx="2">
                  <c:v>Bookshelf</c:v>
                </c:pt>
                <c:pt idx="3">
                  <c:v>Cabinet</c:v>
                </c:pt>
                <c:pt idx="4">
                  <c:v>Chair</c:v>
                </c:pt>
                <c:pt idx="5">
                  <c:v>Design Suite</c:v>
                </c:pt>
                <c:pt idx="6">
                  <c:v>Desk</c:v>
                </c:pt>
                <c:pt idx="7">
                  <c:v>Folders</c:v>
                </c:pt>
                <c:pt idx="8">
                  <c:v>Headphones</c:v>
                </c:pt>
                <c:pt idx="9">
                  <c:v>Keyboard</c:v>
                </c:pt>
                <c:pt idx="10">
                  <c:v>Lamp</c:v>
                </c:pt>
                <c:pt idx="11">
                  <c:v>Laptop</c:v>
                </c:pt>
                <c:pt idx="12">
                  <c:v>Monitor</c:v>
                </c:pt>
                <c:pt idx="13">
                  <c:v>Notebook</c:v>
                </c:pt>
                <c:pt idx="14">
                  <c:v>Pens (12-pk)</c:v>
                </c:pt>
                <c:pt idx="15">
                  <c:v>Project Mgr</c:v>
                </c:pt>
                <c:pt idx="16">
                  <c:v>Stapler</c:v>
                </c:pt>
                <c:pt idx="17">
                  <c:v>Sticky Notes</c:v>
                </c:pt>
                <c:pt idx="18">
                  <c:v>VPN License</c:v>
                </c:pt>
                <c:pt idx="19">
                  <c:v>Webcam</c:v>
                </c:pt>
              </c:strCache>
            </c:strRef>
          </c:cat>
          <c:val>
            <c:numRef>
              <c:f>'Sheet2 (4)'!$B$4:$B$24</c:f>
              <c:numCache>
                <c:formatCode>General</c:formatCode>
                <c:ptCount val="20"/>
                <c:pt idx="0">
                  <c:v>10</c:v>
                </c:pt>
                <c:pt idx="1">
                  <c:v>10</c:v>
                </c:pt>
                <c:pt idx="2">
                  <c:v>8</c:v>
                </c:pt>
                <c:pt idx="3">
                  <c:v>5</c:v>
                </c:pt>
                <c:pt idx="4">
                  <c:v>12</c:v>
                </c:pt>
                <c:pt idx="5">
                  <c:v>13</c:v>
                </c:pt>
                <c:pt idx="6">
                  <c:v>8</c:v>
                </c:pt>
                <c:pt idx="7">
                  <c:v>15</c:v>
                </c:pt>
                <c:pt idx="8">
                  <c:v>7</c:v>
                </c:pt>
                <c:pt idx="9">
                  <c:v>8</c:v>
                </c:pt>
                <c:pt idx="10">
                  <c:v>12</c:v>
                </c:pt>
                <c:pt idx="11">
                  <c:v>14</c:v>
                </c:pt>
                <c:pt idx="12">
                  <c:v>10</c:v>
                </c:pt>
                <c:pt idx="13">
                  <c:v>14</c:v>
                </c:pt>
                <c:pt idx="14">
                  <c:v>6</c:v>
                </c:pt>
                <c:pt idx="15">
                  <c:v>8</c:v>
                </c:pt>
                <c:pt idx="16">
                  <c:v>7</c:v>
                </c:pt>
                <c:pt idx="17">
                  <c:v>15</c:v>
                </c:pt>
                <c:pt idx="18">
                  <c:v>9</c:v>
                </c:pt>
                <c:pt idx="19">
                  <c:v>9</c:v>
                </c:pt>
              </c:numCache>
            </c:numRef>
          </c:val>
          <c:extLst>
            <c:ext xmlns:c16="http://schemas.microsoft.com/office/drawing/2014/chart" uri="{C3380CC4-5D6E-409C-BE32-E72D297353CC}">
              <c16:uniqueId val="{00000000-5DC3-4511-992D-7BA5667F1778}"/>
            </c:ext>
          </c:extLst>
        </c:ser>
        <c:dLbls>
          <c:showLegendKey val="0"/>
          <c:showVal val="0"/>
          <c:showCatName val="0"/>
          <c:showSerName val="0"/>
          <c:showPercent val="0"/>
          <c:showBubbleSize val="0"/>
        </c:dLbls>
        <c:gapWidth val="150"/>
        <c:shape val="box"/>
        <c:axId val="15968688"/>
        <c:axId val="15978288"/>
        <c:axId val="0"/>
      </c:bar3DChart>
      <c:catAx>
        <c:axId val="15968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978288"/>
        <c:crosses val="autoZero"/>
        <c:auto val="1"/>
        <c:lblAlgn val="ctr"/>
        <c:lblOffset val="100"/>
        <c:noMultiLvlLbl val="0"/>
      </c:catAx>
      <c:valAx>
        <c:axId val="15978288"/>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96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 Excel.xlsx]Sheet2 (2)!PivotTable2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Berlin Sans FB Demi" panose="020E0802020502020306" pitchFamily="34" charset="0"/>
              </a:rPr>
              <a:t>Revenue Each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 (2)'!$B$3</c:f>
              <c:strCache>
                <c:ptCount val="1"/>
                <c:pt idx="0">
                  <c:v>Total</c:v>
                </c:pt>
              </c:strCache>
            </c:strRef>
          </c:tx>
          <c:spPr>
            <a:ln w="28575" cap="rnd">
              <a:solidFill>
                <a:schemeClr val="accent1"/>
              </a:solidFill>
              <a:round/>
            </a:ln>
            <a:effectLst/>
          </c:spPr>
          <c:marker>
            <c:symbol val="none"/>
          </c:marker>
          <c:cat>
            <c:strRef>
              <c:f>'Sheet2 (2)'!$A$4:$A$16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 (2)'!$B$4:$B$16</c:f>
              <c:numCache>
                <c:formatCode>\$#,##0.00</c:formatCode>
                <c:ptCount val="12"/>
                <c:pt idx="0">
                  <c:v>79029</c:v>
                </c:pt>
                <c:pt idx="1">
                  <c:v>37618.5</c:v>
                </c:pt>
                <c:pt idx="2">
                  <c:v>21769</c:v>
                </c:pt>
                <c:pt idx="3">
                  <c:v>42614</c:v>
                </c:pt>
                <c:pt idx="4">
                  <c:v>15763.65</c:v>
                </c:pt>
                <c:pt idx="5">
                  <c:v>27494.5</c:v>
                </c:pt>
                <c:pt idx="6">
                  <c:v>48210</c:v>
                </c:pt>
                <c:pt idx="7">
                  <c:v>30759.3</c:v>
                </c:pt>
                <c:pt idx="8">
                  <c:v>52186.55</c:v>
                </c:pt>
                <c:pt idx="9">
                  <c:v>59013.899999999994</c:v>
                </c:pt>
                <c:pt idx="10">
                  <c:v>76587.600000000006</c:v>
                </c:pt>
                <c:pt idx="11">
                  <c:v>40766.6</c:v>
                </c:pt>
              </c:numCache>
            </c:numRef>
          </c:val>
          <c:smooth val="0"/>
          <c:extLst>
            <c:ext xmlns:c16="http://schemas.microsoft.com/office/drawing/2014/chart" uri="{C3380CC4-5D6E-409C-BE32-E72D297353CC}">
              <c16:uniqueId val="{00000000-4EFE-4F0C-A90E-DCC534EFB7FB}"/>
            </c:ext>
          </c:extLst>
        </c:ser>
        <c:dLbls>
          <c:showLegendKey val="0"/>
          <c:showVal val="0"/>
          <c:showCatName val="0"/>
          <c:showSerName val="0"/>
          <c:showPercent val="0"/>
          <c:showBubbleSize val="0"/>
        </c:dLbls>
        <c:smooth val="0"/>
        <c:axId val="184552448"/>
        <c:axId val="184553888"/>
      </c:lineChart>
      <c:catAx>
        <c:axId val="18455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53888"/>
        <c:crosses val="autoZero"/>
        <c:auto val="1"/>
        <c:lblAlgn val="ctr"/>
        <c:lblOffset val="100"/>
        <c:noMultiLvlLbl val="0"/>
      </c:catAx>
      <c:valAx>
        <c:axId val="1845538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5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 Excel.xlsx]Sheet2 (3)!PivotTable2</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Total Revenue of each Rep</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 (3)'!$B$3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 (3)'!$A$4:$A$12</c:f>
              <c:strCache>
                <c:ptCount val="8"/>
                <c:pt idx="0">
                  <c:v>Alice</c:v>
                </c:pt>
                <c:pt idx="1">
                  <c:v>Bob</c:v>
                </c:pt>
                <c:pt idx="2">
                  <c:v>Carlos</c:v>
                </c:pt>
                <c:pt idx="3">
                  <c:v>Diana</c:v>
                </c:pt>
                <c:pt idx="4">
                  <c:v>Ethan</c:v>
                </c:pt>
                <c:pt idx="5">
                  <c:v>Fiona</c:v>
                </c:pt>
                <c:pt idx="6">
                  <c:v>George</c:v>
                </c:pt>
                <c:pt idx="7">
                  <c:v>Hannah</c:v>
                </c:pt>
              </c:strCache>
            </c:strRef>
          </c:cat>
          <c:val>
            <c:numRef>
              <c:f>'Sheet2 (3)'!$B$4:$B$12</c:f>
              <c:numCache>
                <c:formatCode>\$#,##0.00</c:formatCode>
                <c:ptCount val="8"/>
                <c:pt idx="0">
                  <c:v>59379.95</c:v>
                </c:pt>
                <c:pt idx="1">
                  <c:v>51256.600000000006</c:v>
                </c:pt>
                <c:pt idx="2">
                  <c:v>104597.25</c:v>
                </c:pt>
                <c:pt idx="3">
                  <c:v>51505.9</c:v>
                </c:pt>
                <c:pt idx="4">
                  <c:v>58027.700000000004</c:v>
                </c:pt>
                <c:pt idx="5">
                  <c:v>69297.7</c:v>
                </c:pt>
                <c:pt idx="6">
                  <c:v>72017.7</c:v>
                </c:pt>
                <c:pt idx="7">
                  <c:v>65729.8</c:v>
                </c:pt>
              </c:numCache>
            </c:numRef>
          </c:val>
          <c:extLst>
            <c:ext xmlns:c16="http://schemas.microsoft.com/office/drawing/2014/chart" uri="{C3380CC4-5D6E-409C-BE32-E72D297353CC}">
              <c16:uniqueId val="{00000000-DBC2-44D7-911D-3DFD90DE51B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 Excel.xlsx]Sheet2 (4)!PivotTable2</c:name>
    <c:fmtId val="0"/>
  </c:pivotSource>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US"/>
              <a:t>Total</a:t>
            </a:r>
            <a:r>
              <a:rPr lang="en-US" baseline="0"/>
              <a:t> of each product</a:t>
            </a:r>
            <a:endParaRPr lang="en-US"/>
          </a:p>
        </c:rich>
      </c:tx>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circle"/>
          <c:size val="6"/>
          <c:spPr>
            <a:solidFill>
              <a:schemeClr val="accent1">
                <a:alpha val="70000"/>
              </a:schemeClr>
            </a:solidFill>
            <a:ln>
              <a:solidFill>
                <a:schemeClr val="accent1">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 (4)'!$B$3</c:f>
              <c:strCache>
                <c:ptCount val="1"/>
                <c:pt idx="0">
                  <c:v>Total</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Ref>
              <c:f>'Sheet2 (4)'!$A$4:$A$24</c:f>
              <c:strCache>
                <c:ptCount val="20"/>
                <c:pt idx="0">
                  <c:v>Accounting App</c:v>
                </c:pt>
                <c:pt idx="1">
                  <c:v>Antivirus</c:v>
                </c:pt>
                <c:pt idx="2">
                  <c:v>Bookshelf</c:v>
                </c:pt>
                <c:pt idx="3">
                  <c:v>Cabinet</c:v>
                </c:pt>
                <c:pt idx="4">
                  <c:v>Chair</c:v>
                </c:pt>
                <c:pt idx="5">
                  <c:v>Design Suite</c:v>
                </c:pt>
                <c:pt idx="6">
                  <c:v>Desk</c:v>
                </c:pt>
                <c:pt idx="7">
                  <c:v>Folders</c:v>
                </c:pt>
                <c:pt idx="8">
                  <c:v>Headphones</c:v>
                </c:pt>
                <c:pt idx="9">
                  <c:v>Keyboard</c:v>
                </c:pt>
                <c:pt idx="10">
                  <c:v>Lamp</c:v>
                </c:pt>
                <c:pt idx="11">
                  <c:v>Laptop</c:v>
                </c:pt>
                <c:pt idx="12">
                  <c:v>Monitor</c:v>
                </c:pt>
                <c:pt idx="13">
                  <c:v>Notebook</c:v>
                </c:pt>
                <c:pt idx="14">
                  <c:v>Pens (12-pk)</c:v>
                </c:pt>
                <c:pt idx="15">
                  <c:v>Project Mgr</c:v>
                </c:pt>
                <c:pt idx="16">
                  <c:v>Stapler</c:v>
                </c:pt>
                <c:pt idx="17">
                  <c:v>Sticky Notes</c:v>
                </c:pt>
                <c:pt idx="18">
                  <c:v>VPN License</c:v>
                </c:pt>
                <c:pt idx="19">
                  <c:v>Webcam</c:v>
                </c:pt>
              </c:strCache>
            </c:strRef>
          </c:cat>
          <c:val>
            <c:numRef>
              <c:f>'Sheet2 (4)'!$B$4:$B$24</c:f>
              <c:numCache>
                <c:formatCode>General</c:formatCode>
                <c:ptCount val="20"/>
                <c:pt idx="0">
                  <c:v>10</c:v>
                </c:pt>
                <c:pt idx="1">
                  <c:v>10</c:v>
                </c:pt>
                <c:pt idx="2">
                  <c:v>8</c:v>
                </c:pt>
                <c:pt idx="3">
                  <c:v>5</c:v>
                </c:pt>
                <c:pt idx="4">
                  <c:v>12</c:v>
                </c:pt>
                <c:pt idx="5">
                  <c:v>13</c:v>
                </c:pt>
                <c:pt idx="6">
                  <c:v>8</c:v>
                </c:pt>
                <c:pt idx="7">
                  <c:v>15</c:v>
                </c:pt>
                <c:pt idx="8">
                  <c:v>7</c:v>
                </c:pt>
                <c:pt idx="9">
                  <c:v>8</c:v>
                </c:pt>
                <c:pt idx="10">
                  <c:v>12</c:v>
                </c:pt>
                <c:pt idx="11">
                  <c:v>14</c:v>
                </c:pt>
                <c:pt idx="12">
                  <c:v>10</c:v>
                </c:pt>
                <c:pt idx="13">
                  <c:v>14</c:v>
                </c:pt>
                <c:pt idx="14">
                  <c:v>6</c:v>
                </c:pt>
                <c:pt idx="15">
                  <c:v>8</c:v>
                </c:pt>
                <c:pt idx="16">
                  <c:v>7</c:v>
                </c:pt>
                <c:pt idx="17">
                  <c:v>15</c:v>
                </c:pt>
                <c:pt idx="18">
                  <c:v>9</c:v>
                </c:pt>
                <c:pt idx="19">
                  <c:v>9</c:v>
                </c:pt>
              </c:numCache>
            </c:numRef>
          </c:val>
          <c:extLst>
            <c:ext xmlns:c16="http://schemas.microsoft.com/office/drawing/2014/chart" uri="{C3380CC4-5D6E-409C-BE32-E72D297353CC}">
              <c16:uniqueId val="{00000000-3AF8-41FE-B317-A7E739ADF853}"/>
            </c:ext>
          </c:extLst>
        </c:ser>
        <c:dLbls>
          <c:showLegendKey val="0"/>
          <c:showVal val="0"/>
          <c:showCatName val="0"/>
          <c:showSerName val="0"/>
          <c:showPercent val="0"/>
          <c:showBubbleSize val="0"/>
        </c:dLbls>
        <c:gapWidth val="150"/>
        <c:shape val="box"/>
        <c:axId val="15968688"/>
        <c:axId val="15978288"/>
        <c:axId val="0"/>
      </c:bar3DChart>
      <c:catAx>
        <c:axId val="15968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978288"/>
        <c:crosses val="autoZero"/>
        <c:auto val="1"/>
        <c:lblAlgn val="ctr"/>
        <c:lblOffset val="100"/>
        <c:noMultiLvlLbl val="0"/>
      </c:catAx>
      <c:valAx>
        <c:axId val="15978288"/>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96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381000</xdr:colOff>
      <xdr:row>12</xdr:row>
      <xdr:rowOff>135835</xdr:rowOff>
    </xdr:from>
    <xdr:to>
      <xdr:col>7</xdr:col>
      <xdr:colOff>223630</xdr:colOff>
      <xdr:row>27</xdr:row>
      <xdr:rowOff>21535</xdr:rowOff>
    </xdr:to>
    <xdr:graphicFrame macro="">
      <xdr:nvGraphicFramePr>
        <xdr:cNvPr id="3" name="Chart 2">
          <a:extLst>
            <a:ext uri="{FF2B5EF4-FFF2-40B4-BE49-F238E27FC236}">
              <a16:creationId xmlns:a16="http://schemas.microsoft.com/office/drawing/2014/main" id="{E89D666E-08FE-543A-5376-3663F53A44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530677</xdr:colOff>
      <xdr:row>5</xdr:row>
      <xdr:rowOff>181331</xdr:rowOff>
    </xdr:from>
    <xdr:to>
      <xdr:col>15</xdr:col>
      <xdr:colOff>479219</xdr:colOff>
      <xdr:row>25</xdr:row>
      <xdr:rowOff>167885</xdr:rowOff>
    </xdr:to>
    <xdr:graphicFrame macro="">
      <xdr:nvGraphicFramePr>
        <xdr:cNvPr id="2" name="Chart 1">
          <a:extLst>
            <a:ext uri="{FF2B5EF4-FFF2-40B4-BE49-F238E27FC236}">
              <a16:creationId xmlns:a16="http://schemas.microsoft.com/office/drawing/2014/main" id="{574D6B77-3458-44F9-8354-E2126C90E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11206</xdr:rowOff>
    </xdr:from>
    <xdr:to>
      <xdr:col>25</xdr:col>
      <xdr:colOff>598714</xdr:colOff>
      <xdr:row>5</xdr:row>
      <xdr:rowOff>0</xdr:rowOff>
    </xdr:to>
    <xdr:sp macro="" textlink="">
      <xdr:nvSpPr>
        <xdr:cNvPr id="4" name="Rectangle 3">
          <a:extLst>
            <a:ext uri="{FF2B5EF4-FFF2-40B4-BE49-F238E27FC236}">
              <a16:creationId xmlns:a16="http://schemas.microsoft.com/office/drawing/2014/main" id="{6DD35B4A-A774-4623-14D0-9BDC7E995887}"/>
            </a:ext>
          </a:extLst>
        </xdr:cNvPr>
        <xdr:cNvSpPr/>
      </xdr:nvSpPr>
      <xdr:spPr>
        <a:xfrm>
          <a:off x="0" y="11206"/>
          <a:ext cx="15906750" cy="941294"/>
        </a:xfrm>
        <a:prstGeom prst="rect">
          <a:avLst/>
        </a:prstGeom>
        <a:ln w="571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oneCellAnchor>
    <xdr:from>
      <xdr:col>0</xdr:col>
      <xdr:colOff>0</xdr:colOff>
      <xdr:row>0</xdr:row>
      <xdr:rowOff>74670</xdr:rowOff>
    </xdr:from>
    <xdr:ext cx="15707590" cy="937629"/>
    <xdr:sp macro="" textlink="">
      <xdr:nvSpPr>
        <xdr:cNvPr id="5" name="Rectangle 4">
          <a:extLst>
            <a:ext uri="{FF2B5EF4-FFF2-40B4-BE49-F238E27FC236}">
              <a16:creationId xmlns:a16="http://schemas.microsoft.com/office/drawing/2014/main" id="{C7EDF1A6-4825-8ADD-FA7E-AEE132709DEF}"/>
            </a:ext>
          </a:extLst>
        </xdr:cNvPr>
        <xdr:cNvSpPr/>
      </xdr:nvSpPr>
      <xdr:spPr>
        <a:xfrm>
          <a:off x="0" y="74670"/>
          <a:ext cx="15707590" cy="937629"/>
        </a:xfrm>
        <a:prstGeom prst="rect">
          <a:avLst/>
        </a:prstGeom>
        <a:noFill/>
      </xdr:spPr>
      <xdr:txBody>
        <a:bodyPr wrap="square" lIns="91440" tIns="45720" rIns="91440" bIns="45720">
          <a:spAutoFit/>
        </a:bodyPr>
        <a:lstStyle/>
        <a:p>
          <a:pPr algn="ctr"/>
          <a:r>
            <a:rPr lang="en-US" sz="5400" b="1" cap="none" spc="0">
              <a:ln w="10160">
                <a:solidFill>
                  <a:schemeClr val="accent5"/>
                </a:solidFill>
                <a:prstDash val="solid"/>
              </a:ln>
              <a:solidFill>
                <a:srgbClr val="FF0000"/>
              </a:solidFill>
              <a:effectLst>
                <a:outerShdw blurRad="38100" dist="22860" dir="5400000" algn="tl" rotWithShape="0">
                  <a:srgbClr val="000000">
                    <a:alpha val="30000"/>
                  </a:srgbClr>
                </a:outerShdw>
              </a:effectLst>
            </a:rPr>
            <a:t>Performance Dashboard</a:t>
          </a:r>
        </a:p>
      </xdr:txBody>
    </xdr:sp>
    <xdr:clientData/>
  </xdr:oneCellAnchor>
  <xdr:twoCellAnchor>
    <xdr:from>
      <xdr:col>16</xdr:col>
      <xdr:colOff>176893</xdr:colOff>
      <xdr:row>5</xdr:row>
      <xdr:rowOff>181330</xdr:rowOff>
    </xdr:from>
    <xdr:to>
      <xdr:col>25</xdr:col>
      <xdr:colOff>598711</xdr:colOff>
      <xdr:row>21</xdr:row>
      <xdr:rowOff>163285</xdr:rowOff>
    </xdr:to>
    <xdr:graphicFrame macro="">
      <xdr:nvGraphicFramePr>
        <xdr:cNvPr id="6" name="Chart 5">
          <a:extLst>
            <a:ext uri="{FF2B5EF4-FFF2-40B4-BE49-F238E27FC236}">
              <a16:creationId xmlns:a16="http://schemas.microsoft.com/office/drawing/2014/main" id="{5A1EBBFC-1674-41AD-BCE9-3801F180C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190500</xdr:colOff>
      <xdr:row>21</xdr:row>
      <xdr:rowOff>184045</xdr:rowOff>
    </xdr:from>
    <xdr:to>
      <xdr:col>26</xdr:col>
      <xdr:colOff>3198</xdr:colOff>
      <xdr:row>42</xdr:row>
      <xdr:rowOff>1</xdr:rowOff>
    </xdr:to>
    <xdr:graphicFrame macro="">
      <xdr:nvGraphicFramePr>
        <xdr:cNvPr id="7" name="Chart 6">
          <a:extLst>
            <a:ext uri="{FF2B5EF4-FFF2-40B4-BE49-F238E27FC236}">
              <a16:creationId xmlns:a16="http://schemas.microsoft.com/office/drawing/2014/main" id="{87FC4E0C-1D9E-46A6-A680-0C6C358D7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530677</xdr:colOff>
      <xdr:row>26</xdr:row>
      <xdr:rowOff>6184</xdr:rowOff>
    </xdr:from>
    <xdr:to>
      <xdr:col>15</xdr:col>
      <xdr:colOff>479219</xdr:colOff>
      <xdr:row>42</xdr:row>
      <xdr:rowOff>68036</xdr:rowOff>
    </xdr:to>
    <xdr:graphicFrame macro="">
      <xdr:nvGraphicFramePr>
        <xdr:cNvPr id="8" name="Chart 7">
          <a:extLst>
            <a:ext uri="{FF2B5EF4-FFF2-40B4-BE49-F238E27FC236}">
              <a16:creationId xmlns:a16="http://schemas.microsoft.com/office/drawing/2014/main" id="{5C11B890-98EA-4CE3-AF17-3B3D92425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27215</xdr:colOff>
      <xdr:row>6</xdr:row>
      <xdr:rowOff>27215</xdr:rowOff>
    </xdr:from>
    <xdr:to>
      <xdr:col>5</xdr:col>
      <xdr:colOff>585107</xdr:colOff>
      <xdr:row>14</xdr:row>
      <xdr:rowOff>136072</xdr:rowOff>
    </xdr:to>
    <mc:AlternateContent xmlns:mc="http://schemas.openxmlformats.org/markup-compatibility/2006">
      <mc:Choice xmlns:tsle="http://schemas.microsoft.com/office/drawing/2012/timeslicer" Requires="tsle">
        <xdr:graphicFrame macro="">
          <xdr:nvGraphicFramePr>
            <xdr:cNvPr id="9" name="Date">
              <a:extLst>
                <a:ext uri="{FF2B5EF4-FFF2-40B4-BE49-F238E27FC236}">
                  <a16:creationId xmlns:a16="http://schemas.microsoft.com/office/drawing/2014/main" id="{8605D65A-EBE7-3A79-4431-20C74DD76644}"/>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7215" y="1274124"/>
              <a:ext cx="4021528" cy="177140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xdr:col>
      <xdr:colOff>308881</xdr:colOff>
      <xdr:row>16</xdr:row>
      <xdr:rowOff>38101</xdr:rowOff>
    </xdr:from>
    <xdr:to>
      <xdr:col>6</xdr:col>
      <xdr:colOff>96609</xdr:colOff>
      <xdr:row>23</xdr:row>
      <xdr:rowOff>122465</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96464697-15E8-B2D4-2AA0-C0248E7E4AE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387063" y="3363192"/>
              <a:ext cx="1865910" cy="15390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131989</xdr:colOff>
      <xdr:row>16</xdr:row>
      <xdr:rowOff>51707</xdr:rowOff>
    </xdr:from>
    <xdr:to>
      <xdr:col>2</xdr:col>
      <xdr:colOff>600075</xdr:colOff>
      <xdr:row>28</xdr:row>
      <xdr:rowOff>126546</xdr:rowOff>
    </xdr:to>
    <mc:AlternateContent xmlns:mc="http://schemas.openxmlformats.org/markup-compatibility/2006">
      <mc:Choice xmlns:a14="http://schemas.microsoft.com/office/drawing/2010/main" Requires="a14">
        <xdr:graphicFrame macro="">
          <xdr:nvGraphicFramePr>
            <xdr:cNvPr id="11" name="Product">
              <a:extLst>
                <a:ext uri="{FF2B5EF4-FFF2-40B4-BE49-F238E27FC236}">
                  <a16:creationId xmlns:a16="http://schemas.microsoft.com/office/drawing/2014/main" id="{38FECEB8-4762-41CA-A03B-7E0B6F4976C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31989" y="3376798"/>
              <a:ext cx="1853541" cy="25686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131990</xdr:colOff>
      <xdr:row>29</xdr:row>
      <xdr:rowOff>161802</xdr:rowOff>
    </xdr:from>
    <xdr:to>
      <xdr:col>2</xdr:col>
      <xdr:colOff>600075</xdr:colOff>
      <xdr:row>37</xdr:row>
      <xdr:rowOff>1237</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84E41A66-191C-F9F7-A336-1FF7C232BB7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1990" y="6188529"/>
              <a:ext cx="1853540" cy="15019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308881</xdr:colOff>
      <xdr:row>24</xdr:row>
      <xdr:rowOff>65315</xdr:rowOff>
    </xdr:from>
    <xdr:to>
      <xdr:col>6</xdr:col>
      <xdr:colOff>96610</xdr:colOff>
      <xdr:row>36</xdr:row>
      <xdr:rowOff>140154</xdr:rowOff>
    </xdr:to>
    <mc:AlternateContent xmlns:mc="http://schemas.openxmlformats.org/markup-compatibility/2006">
      <mc:Choice xmlns:a14="http://schemas.microsoft.com/office/drawing/2010/main" Requires="a14">
        <xdr:graphicFrame macro="">
          <xdr:nvGraphicFramePr>
            <xdr:cNvPr id="13" name="Rep">
              <a:extLst>
                <a:ext uri="{FF2B5EF4-FFF2-40B4-BE49-F238E27FC236}">
                  <a16:creationId xmlns:a16="http://schemas.microsoft.com/office/drawing/2014/main" id="{0A1FBD01-4DF2-8645-0BC4-CFAF1431C0D3}"/>
                </a:ext>
              </a:extLst>
            </xdr:cNvPr>
            <xdr:cNvGraphicFramePr/>
          </xdr:nvGraphicFramePr>
          <xdr:xfrm>
            <a:off x="0" y="0"/>
            <a:ext cx="0" cy="0"/>
          </xdr:xfrm>
          <a:graphic>
            <a:graphicData uri="http://schemas.microsoft.com/office/drawing/2010/slicer">
              <sle:slicer xmlns:sle="http://schemas.microsoft.com/office/drawing/2010/slicer" name="Rep"/>
            </a:graphicData>
          </a:graphic>
        </xdr:graphicFrame>
      </mc:Choice>
      <mc:Fallback>
        <xdr:sp macro="" textlink="">
          <xdr:nvSpPr>
            <xdr:cNvPr id="0" name=""/>
            <xdr:cNvSpPr>
              <a:spLocks noTextEdit="1"/>
            </xdr:cNvSpPr>
          </xdr:nvSpPr>
          <xdr:spPr>
            <a:xfrm>
              <a:off x="2387063" y="5052951"/>
              <a:ext cx="1865911" cy="25686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260188</xdr:colOff>
      <xdr:row>3</xdr:row>
      <xdr:rowOff>54864</xdr:rowOff>
    </xdr:from>
    <xdr:to>
      <xdr:col>9</xdr:col>
      <xdr:colOff>553507</xdr:colOff>
      <xdr:row>17</xdr:row>
      <xdr:rowOff>131064</xdr:rowOff>
    </xdr:to>
    <xdr:graphicFrame macro="">
      <xdr:nvGraphicFramePr>
        <xdr:cNvPr id="2" name="Chart 1">
          <a:extLst>
            <a:ext uri="{FF2B5EF4-FFF2-40B4-BE49-F238E27FC236}">
              <a16:creationId xmlns:a16="http://schemas.microsoft.com/office/drawing/2014/main" id="{6D71F024-656A-EFB5-3C45-D357BF0DD9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213003</xdr:colOff>
      <xdr:row>19</xdr:row>
      <xdr:rowOff>141932</xdr:rowOff>
    </xdr:from>
    <xdr:to>
      <xdr:col>9</xdr:col>
      <xdr:colOff>162762</xdr:colOff>
      <xdr:row>34</xdr:row>
      <xdr:rowOff>27632</xdr:rowOff>
    </xdr:to>
    <xdr:graphicFrame macro="">
      <xdr:nvGraphicFramePr>
        <xdr:cNvPr id="3" name="Chart 2">
          <a:extLst>
            <a:ext uri="{FF2B5EF4-FFF2-40B4-BE49-F238E27FC236}">
              <a16:creationId xmlns:a16="http://schemas.microsoft.com/office/drawing/2014/main" id="{C98A91D4-4439-ABFE-9262-F0E2BEED2D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243255</xdr:colOff>
      <xdr:row>4</xdr:row>
      <xdr:rowOff>74734</xdr:rowOff>
    </xdr:from>
    <xdr:to>
      <xdr:col>9</xdr:col>
      <xdr:colOff>113568</xdr:colOff>
      <xdr:row>18</xdr:row>
      <xdr:rowOff>150934</xdr:rowOff>
    </xdr:to>
    <xdr:graphicFrame macro="">
      <xdr:nvGraphicFramePr>
        <xdr:cNvPr id="2" name="Chart 1">
          <a:extLst>
            <a:ext uri="{FF2B5EF4-FFF2-40B4-BE49-F238E27FC236}">
              <a16:creationId xmlns:a16="http://schemas.microsoft.com/office/drawing/2014/main" id="{0696204E-2DD3-CD1D-A0B4-C5EC7224C7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YUT" refreshedDate="46115.619346412037" createdVersion="8" refreshedVersion="8" minRefreshableVersion="3" recordCount="200" xr:uid="{800B9B51-DD38-405B-AAEF-ADFC611D6665}">
  <cacheSource type="worksheet">
    <worksheetSource name="Sales_Data"/>
  </cacheSource>
  <cacheFields count="12">
    <cacheField name="OrderID" numFmtId="0">
      <sharedItems/>
    </cacheField>
    <cacheField name="Date" numFmtId="164">
      <sharedItems containsSemiMixedTypes="0" containsNonDate="0" containsDate="1" containsString="0" minDate="2023-01-01T00:00:00" maxDate="2023-12-30T00:00:00" count="152">
        <d v="2023-02-22T00:00:00"/>
        <d v="2023-04-22T00:00:00"/>
        <d v="2023-04-23T00:00:00"/>
        <d v="2023-08-05T00:00:00"/>
        <d v="2023-02-17T00:00:00"/>
        <d v="2023-01-23T00:00:00"/>
        <d v="2023-05-31T00:00:00"/>
        <d v="2023-04-27T00:00:00"/>
        <d v="2023-08-21T00:00:00"/>
        <d v="2023-05-17T00:00:00"/>
        <d v="2023-07-14T00:00:00"/>
        <d v="2023-01-17T00:00:00"/>
        <d v="2023-06-11T00:00:00"/>
        <d v="2023-03-13T00:00:00"/>
        <d v="2023-07-05T00:00:00"/>
        <d v="2023-03-20T00:00:00"/>
        <d v="2023-08-28T00:00:00"/>
        <d v="2023-11-25T00:00:00"/>
        <d v="2023-01-02T00:00:00"/>
        <d v="2023-09-17T00:00:00"/>
        <d v="2023-01-01T00:00:00"/>
        <d v="2023-05-03T00:00:00"/>
        <d v="2023-09-30T00:00:00"/>
        <d v="2023-11-07T00:00:00"/>
        <d v="2023-11-29T00:00:00"/>
        <d v="2023-02-02T00:00:00"/>
        <d v="2023-12-29T00:00:00"/>
        <d v="2023-09-21T00:00:00"/>
        <d v="2023-10-20T00:00:00"/>
        <d v="2023-02-19T00:00:00"/>
        <d v="2023-01-28T00:00:00"/>
        <d v="2023-04-09T00:00:00"/>
        <d v="2023-05-23T00:00:00"/>
        <d v="2023-01-26T00:00:00"/>
        <d v="2023-09-04T00:00:00"/>
        <d v="2023-07-19T00:00:00"/>
        <d v="2023-09-07T00:00:00"/>
        <d v="2023-10-05T00:00:00"/>
        <d v="2023-09-15T00:00:00"/>
        <d v="2023-02-04T00:00:00"/>
        <d v="2023-01-21T00:00:00"/>
        <d v="2023-06-10T00:00:00"/>
        <d v="2023-04-20T00:00:00"/>
        <d v="2023-05-26T00:00:00"/>
        <d v="2023-12-06T00:00:00"/>
        <d v="2023-10-11T00:00:00"/>
        <d v="2023-12-18T00:00:00"/>
        <d v="2023-11-21T00:00:00"/>
        <d v="2023-11-23T00:00:00"/>
        <d v="2023-02-27T00:00:00"/>
        <d v="2023-03-17T00:00:00"/>
        <d v="2023-07-03T00:00:00"/>
        <d v="2023-11-14T00:00:00"/>
        <d v="2023-04-02T00:00:00"/>
        <d v="2023-02-25T00:00:00"/>
        <d v="2023-06-29T00:00:00"/>
        <d v="2023-06-18T00:00:00"/>
        <d v="2023-12-14T00:00:00"/>
        <d v="2023-05-16T00:00:00"/>
        <d v="2023-08-12T00:00:00"/>
        <d v="2023-12-07T00:00:00"/>
        <d v="2023-06-08T00:00:00"/>
        <d v="2023-12-02T00:00:00"/>
        <d v="2023-08-31T00:00:00"/>
        <d v="2023-12-11T00:00:00"/>
        <d v="2023-05-06T00:00:00"/>
        <d v="2023-10-22T00:00:00"/>
        <d v="2023-09-23T00:00:00"/>
        <d v="2023-08-26T00:00:00"/>
        <d v="2023-09-01T00:00:00"/>
        <d v="2023-11-17T00:00:00"/>
        <d v="2023-05-20T00:00:00"/>
        <d v="2023-07-16T00:00:00"/>
        <d v="2023-10-27T00:00:00"/>
        <d v="2023-06-02T00:00:00"/>
        <d v="2023-03-26T00:00:00"/>
        <d v="2023-06-22T00:00:00"/>
        <d v="2023-01-10T00:00:00"/>
        <d v="2023-05-07T00:00:00"/>
        <d v="2023-12-09T00:00:00"/>
        <d v="2023-03-27T00:00:00"/>
        <d v="2023-06-09T00:00:00"/>
        <d v="2023-11-18T00:00:00"/>
        <d v="2023-06-27T00:00:00"/>
        <d v="2023-09-08T00:00:00"/>
        <d v="2023-04-01T00:00:00"/>
        <d v="2023-10-31T00:00:00"/>
        <d v="2023-05-05T00:00:00"/>
        <d v="2023-06-16T00:00:00"/>
        <d v="2023-05-24T00:00:00"/>
        <d v="2023-07-28T00:00:00"/>
        <d v="2023-01-09T00:00:00"/>
        <d v="2023-06-30T00:00:00"/>
        <d v="2023-09-05T00:00:00"/>
        <d v="2023-05-21T00:00:00"/>
        <d v="2023-01-07T00:00:00"/>
        <d v="2023-01-27T00:00:00"/>
        <d v="2023-02-07T00:00:00"/>
        <d v="2023-03-02T00:00:00"/>
        <d v="2023-04-19T00:00:00"/>
        <d v="2023-02-08T00:00:00"/>
        <d v="2023-05-30T00:00:00"/>
        <d v="2023-04-26T00:00:00"/>
        <d v="2023-06-07T00:00:00"/>
        <d v="2023-07-26T00:00:00"/>
        <d v="2023-12-12T00:00:00"/>
        <d v="2023-11-30T00:00:00"/>
        <d v="2023-08-29T00:00:00"/>
        <d v="2023-11-19T00:00:00"/>
        <d v="2023-10-10T00:00:00"/>
        <d v="2023-08-01T00:00:00"/>
        <d v="2023-07-15T00:00:00"/>
        <d v="2023-10-30T00:00:00"/>
        <d v="2023-01-08T00:00:00"/>
        <d v="2023-06-23T00:00:00"/>
        <d v="2023-02-16T00:00:00"/>
        <d v="2023-06-03T00:00:00"/>
        <d v="2023-07-11T00:00:00"/>
        <d v="2023-04-03T00:00:00"/>
        <d v="2023-05-04T00:00:00"/>
        <d v="2023-05-11T00:00:00"/>
        <d v="2023-10-07T00:00:00"/>
        <d v="2023-11-24T00:00:00"/>
        <d v="2023-12-25T00:00:00"/>
        <d v="2023-11-27T00:00:00"/>
        <d v="2023-03-09T00:00:00"/>
        <d v="2023-06-01T00:00:00"/>
        <d v="2023-12-13T00:00:00"/>
        <d v="2023-10-15T00:00:00"/>
        <d v="2023-06-04T00:00:00"/>
        <d v="2023-09-10T00:00:00"/>
        <d v="2023-07-09T00:00:00"/>
        <d v="2023-11-12T00:00:00"/>
        <d v="2023-08-16T00:00:00"/>
        <d v="2023-03-06T00:00:00"/>
        <d v="2023-03-31T00:00:00"/>
        <d v="2023-10-29T00:00:00"/>
        <d v="2023-08-04T00:00:00"/>
        <d v="2023-08-23T00:00:00"/>
        <d v="2023-09-29T00:00:00"/>
        <d v="2023-02-13T00:00:00"/>
        <d v="2023-01-31T00:00:00"/>
        <d v="2023-10-12T00:00:00"/>
        <d v="2023-11-15T00:00:00"/>
        <d v="2023-12-26T00:00:00"/>
        <d v="2023-10-17T00:00:00"/>
        <d v="2023-11-13T00:00:00"/>
        <d v="2023-06-26T00:00:00"/>
        <d v="2023-01-04T00:00:00"/>
        <d v="2023-12-27T00:00:00"/>
        <d v="2023-01-22T00:00:00"/>
        <d v="2023-08-08T00:00:00"/>
      </sharedItems>
      <fieldGroup par="11"/>
    </cacheField>
    <cacheField name="Region" numFmtId="0">
      <sharedItems count="4">
        <s v="East"/>
        <s v="West"/>
        <s v="North"/>
        <s v="South"/>
      </sharedItems>
    </cacheField>
    <cacheField name="Category" numFmtId="0">
      <sharedItems count="4">
        <s v="Electronics"/>
        <s v="Furniture"/>
        <s v="Software"/>
        <s v="Stationery"/>
      </sharedItems>
    </cacheField>
    <cacheField name="Product" numFmtId="0">
      <sharedItems count="20">
        <s v="Laptop"/>
        <s v="Webcam"/>
        <s v="Cabinet"/>
        <s v="VPN License"/>
        <s v="Stapler"/>
        <s v="Antivirus"/>
        <s v="Sticky Notes"/>
        <s v="Notebook"/>
        <s v="Pens (12-pk)"/>
        <s v="Folders"/>
        <s v="Lamp"/>
        <s v="Chair"/>
        <s v="Monitor"/>
        <s v="Project Mgr"/>
        <s v="Bookshelf"/>
        <s v="Design Suite"/>
        <s v="Keyboard"/>
        <s v="Desk"/>
        <s v="Headphones"/>
        <s v="Accounting App"/>
      </sharedItems>
    </cacheField>
    <cacheField name="Rep" numFmtId="0">
      <sharedItems count="8">
        <s v="Diana"/>
        <s v="Alice"/>
        <s v="Fiona"/>
        <s v="George"/>
        <s v="Bob"/>
        <s v="Hannah"/>
        <s v="Carlos"/>
        <s v="Ethan"/>
      </sharedItems>
    </cacheField>
    <cacheField name="Qty" numFmtId="0">
      <sharedItems containsSemiMixedTypes="0" containsString="0" containsNumber="1" containsInteger="1" minValue="1" maxValue="20" count="20">
        <n v="8"/>
        <n v="1"/>
        <n v="18"/>
        <n v="6"/>
        <n v="11"/>
        <n v="20"/>
        <n v="3"/>
        <n v="2"/>
        <n v="13"/>
        <n v="7"/>
        <n v="5"/>
        <n v="19"/>
        <n v="10"/>
        <n v="12"/>
        <n v="16"/>
        <n v="9"/>
        <n v="15"/>
        <n v="4"/>
        <n v="14"/>
        <n v="17"/>
      </sharedItems>
    </cacheField>
    <cacheField name="UnitPrice" numFmtId="165">
      <sharedItems containsSemiMixedTypes="0" containsString="0" containsNumber="1" containsInteger="1" minValue="5" maxValue="1500" count="18">
        <n v="1500"/>
        <n v="55"/>
        <n v="220"/>
        <n v="60"/>
        <n v="25"/>
        <n v="80"/>
        <n v="5"/>
        <n v="12"/>
        <n v="8"/>
        <n v="6"/>
        <n v="35"/>
        <n v="180"/>
        <n v="450"/>
        <n v="350"/>
        <n v="95"/>
        <n v="620"/>
        <n v="45"/>
        <n v="250"/>
      </sharedItems>
    </cacheField>
    <cacheField name="Discount" numFmtId="9">
      <sharedItems containsSemiMixedTypes="0" containsString="0" containsNumber="1" minValue="0" maxValue="0.15"/>
    </cacheField>
    <cacheField name="Revenue" numFmtId="165">
      <sharedItems containsSemiMixedTypes="0" containsString="0" containsNumber="1" minValue="8" maxValue="24000" count="167">
        <n v="12000"/>
        <n v="55"/>
        <n v="3762"/>
        <n v="306"/>
        <n v="275"/>
        <n v="1600"/>
        <n v="162"/>
        <n v="8.5"/>
        <n v="156"/>
        <n v="47.6"/>
        <n v="313.5"/>
        <n v="10"/>
        <n v="37.799999999999997"/>
        <n v="175"/>
        <n v="3971"/>
        <n v="360"/>
        <n v="409.5"/>
        <n v="90"/>
        <n v="68.400000000000006"/>
        <n v="42.5"/>
        <n v="2916"/>
        <n v="72"/>
        <n v="7200"/>
        <n v="1458"/>
        <n v="3867.5"/>
        <n v="48"/>
        <n v="12"/>
        <n v="4950"/>
        <n v="1710"/>
        <n v="2450"/>
        <n v="7905"/>
        <n v="6000"/>
        <n v="3080"/>
        <n v="6300"/>
        <n v="19950"/>
        <n v="455"/>
        <n v="91.8"/>
        <n v="324"/>
        <n v="812.25"/>
        <n v="675"/>
        <n v="598.5"/>
        <n v="476"/>
        <n v="902.5"/>
        <n v="4050"/>
        <n v="64"/>
        <n v="630"/>
        <n v="1530"/>
        <n v="1045"/>
        <n v="6820"/>
        <n v="144"/>
        <n v="7695"/>
        <n v="4200"/>
        <n v="3078"/>
        <n v="2520"/>
        <n v="30.6"/>
        <n v="532"/>
        <n v="53.2"/>
        <n v="193.8"/>
        <n v="64.8"/>
        <n v="15675"/>
        <n v="136"/>
        <n v="770"/>
        <n v="45"/>
        <n v="11160"/>
        <n v="5265"/>
        <n v="427.5"/>
        <n v="750"/>
        <n v="8"/>
        <n v="714"/>
        <n v="280"/>
        <n v="7650"/>
        <n v="1200"/>
        <n v="10013"/>
        <n v="950"/>
        <n v="125"/>
        <n v="5985"/>
        <n v="3600"/>
        <n v="884"/>
        <n v="22500"/>
        <n v="1767"/>
        <n v="1187.5"/>
        <n v="495"/>
        <n v="8550"/>
        <n v="7267.5"/>
        <n v="4750"/>
        <n v="589"/>
        <n v="380"/>
        <n v="59.5"/>
        <n v="213.75"/>
        <n v="57"/>
        <n v="315"/>
        <n v="15"/>
        <n v="912"/>
        <n v="108"/>
        <n v="4960"/>
        <n v="71.400000000000006"/>
        <n v="35"/>
        <n v="24000"/>
        <n v="66"/>
        <n v="74.099999999999994"/>
        <n v="1350"/>
        <n v="855"/>
        <n v="3689"/>
        <n v="6750"/>
        <n v="342"/>
        <n v="190"/>
        <n v="51"/>
        <n v="13.5"/>
        <n v="1860"/>
        <n v="648"/>
        <n v="9920"/>
        <n v="24"/>
        <n v="8100"/>
        <n v="171"/>
        <n v="110"/>
        <n v="45.6"/>
        <n v="105"/>
        <n v="3240"/>
        <n v="1575"/>
        <n v="560"/>
        <n v="748"/>
        <n v="550"/>
        <n v="408"/>
        <n v="15000"/>
        <n v="5652.5"/>
        <n v="3060"/>
        <n v="765"/>
        <n v="5270"/>
        <n v="4123"/>
        <n v="10.8"/>
        <n v="396"/>
        <n v="612"/>
        <n v="270"/>
        <n v="42.75"/>
        <n v="60"/>
        <n v="780"/>
        <n v="1444"/>
        <n v="63.75"/>
        <n v="160"/>
        <n v="18525"/>
        <n v="228"/>
        <n v="1453.5"/>
        <n v="304"/>
        <n v="2420"/>
        <n v="2000"/>
        <n v="810"/>
        <n v="18000"/>
        <n v="16200"/>
        <n v="1360"/>
        <n v="17850"/>
        <n v="4455"/>
        <n v="20.399999999999999"/>
        <n v="490"/>
        <n v="75"/>
        <n v="142.80000000000001"/>
        <n v="18"/>
        <n v="720"/>
        <n v="151.19999999999999"/>
        <n v="330"/>
        <n v="150"/>
        <n v="204"/>
        <n v="385"/>
        <n v="1156"/>
        <n v="450"/>
        <n v="1980"/>
        <n v="2431"/>
        <n v="792"/>
      </sharedItems>
    </cacheField>
    <cacheField name="Days (Date)" numFmtId="0" databaseField="0">
      <fieldGroup base="1">
        <rangePr groupBy="days" startDate="2023-01-01T00:00:00" endDate="2023-12-30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23"/>
        </groupItems>
      </fieldGroup>
    </cacheField>
    <cacheField name="Months (Date)" numFmtId="0" databaseField="0">
      <fieldGroup base="1">
        <rangePr groupBy="months" startDate="2023-01-01T00:00:00" endDate="2023-12-30T00:00:00"/>
        <groupItems count="14">
          <s v="&lt;1/1/2023"/>
          <s v="Jan"/>
          <s v="Feb"/>
          <s v="Mar"/>
          <s v="Apr"/>
          <s v="May"/>
          <s v="Jun"/>
          <s v="Jul"/>
          <s v="Aug"/>
          <s v="Sep"/>
          <s v="Oct"/>
          <s v="Nov"/>
          <s v="Dec"/>
          <s v="&gt;12/30/2023"/>
        </groupItems>
      </fieldGroup>
    </cacheField>
  </cacheFields>
  <extLst>
    <ext xmlns:x14="http://schemas.microsoft.com/office/spreadsheetml/2009/9/main" uri="{725AE2AE-9491-48be-B2B4-4EB974FC3084}">
      <x14:pivotCacheDefinition pivotCacheId="13050838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1001"/>
    <x v="0"/>
    <x v="0"/>
    <x v="0"/>
    <x v="0"/>
    <x v="0"/>
    <x v="0"/>
    <x v="0"/>
    <n v="0"/>
    <x v="0"/>
  </r>
  <r>
    <s v="ORD-1002"/>
    <x v="1"/>
    <x v="1"/>
    <x v="0"/>
    <x v="1"/>
    <x v="1"/>
    <x v="1"/>
    <x v="1"/>
    <n v="0"/>
    <x v="1"/>
  </r>
  <r>
    <s v="ORD-1003"/>
    <x v="2"/>
    <x v="2"/>
    <x v="1"/>
    <x v="2"/>
    <x v="0"/>
    <x v="2"/>
    <x v="2"/>
    <n v="0.05"/>
    <x v="2"/>
  </r>
  <r>
    <s v="ORD-1004"/>
    <x v="3"/>
    <x v="0"/>
    <x v="2"/>
    <x v="3"/>
    <x v="1"/>
    <x v="3"/>
    <x v="3"/>
    <n v="0.15"/>
    <x v="3"/>
  </r>
  <r>
    <s v="ORD-1005"/>
    <x v="4"/>
    <x v="3"/>
    <x v="3"/>
    <x v="4"/>
    <x v="0"/>
    <x v="4"/>
    <x v="4"/>
    <n v="0"/>
    <x v="4"/>
  </r>
  <r>
    <s v="ORD-1006"/>
    <x v="5"/>
    <x v="0"/>
    <x v="2"/>
    <x v="5"/>
    <x v="2"/>
    <x v="5"/>
    <x v="5"/>
    <n v="0"/>
    <x v="5"/>
  </r>
  <r>
    <s v="ORD-1007"/>
    <x v="6"/>
    <x v="2"/>
    <x v="2"/>
    <x v="3"/>
    <x v="3"/>
    <x v="6"/>
    <x v="3"/>
    <n v="0.1"/>
    <x v="6"/>
  </r>
  <r>
    <s v="ORD-1008"/>
    <x v="7"/>
    <x v="3"/>
    <x v="3"/>
    <x v="6"/>
    <x v="4"/>
    <x v="7"/>
    <x v="6"/>
    <n v="0.15"/>
    <x v="7"/>
  </r>
  <r>
    <s v="ORD-1009"/>
    <x v="8"/>
    <x v="3"/>
    <x v="3"/>
    <x v="7"/>
    <x v="4"/>
    <x v="8"/>
    <x v="7"/>
    <n v="0"/>
    <x v="8"/>
  </r>
  <r>
    <s v="ORD-1010"/>
    <x v="9"/>
    <x v="0"/>
    <x v="3"/>
    <x v="8"/>
    <x v="2"/>
    <x v="9"/>
    <x v="8"/>
    <n v="0.15"/>
    <x v="9"/>
  </r>
  <r>
    <s v="ORD-1011"/>
    <x v="10"/>
    <x v="3"/>
    <x v="0"/>
    <x v="1"/>
    <x v="0"/>
    <x v="3"/>
    <x v="1"/>
    <n v="0.05"/>
    <x v="10"/>
  </r>
  <r>
    <s v="ORD-1012"/>
    <x v="11"/>
    <x v="3"/>
    <x v="3"/>
    <x v="6"/>
    <x v="2"/>
    <x v="7"/>
    <x v="6"/>
    <n v="0"/>
    <x v="11"/>
  </r>
  <r>
    <s v="ORD-1013"/>
    <x v="12"/>
    <x v="0"/>
    <x v="3"/>
    <x v="9"/>
    <x v="4"/>
    <x v="9"/>
    <x v="9"/>
    <n v="0.1"/>
    <x v="12"/>
  </r>
  <r>
    <s v="ORD-1014"/>
    <x v="13"/>
    <x v="1"/>
    <x v="1"/>
    <x v="10"/>
    <x v="5"/>
    <x v="10"/>
    <x v="10"/>
    <n v="0"/>
    <x v="13"/>
  </r>
  <r>
    <s v="ORD-1015"/>
    <x v="14"/>
    <x v="0"/>
    <x v="1"/>
    <x v="2"/>
    <x v="3"/>
    <x v="11"/>
    <x v="2"/>
    <n v="0.05"/>
    <x v="14"/>
  </r>
  <r>
    <s v="ORD-1016"/>
    <x v="15"/>
    <x v="1"/>
    <x v="1"/>
    <x v="11"/>
    <x v="4"/>
    <x v="7"/>
    <x v="11"/>
    <n v="0"/>
    <x v="15"/>
  </r>
  <r>
    <s v="ORD-1017"/>
    <x v="16"/>
    <x v="2"/>
    <x v="1"/>
    <x v="10"/>
    <x v="3"/>
    <x v="8"/>
    <x v="10"/>
    <n v="0.1"/>
    <x v="16"/>
  </r>
  <r>
    <s v="ORD-1018"/>
    <x v="17"/>
    <x v="2"/>
    <x v="3"/>
    <x v="6"/>
    <x v="4"/>
    <x v="2"/>
    <x v="6"/>
    <n v="0"/>
    <x v="17"/>
  </r>
  <r>
    <s v="ORD-1019"/>
    <x v="18"/>
    <x v="0"/>
    <x v="3"/>
    <x v="7"/>
    <x v="3"/>
    <x v="3"/>
    <x v="7"/>
    <n v="0.05"/>
    <x v="18"/>
  </r>
  <r>
    <s v="ORD-1020"/>
    <x v="19"/>
    <x v="3"/>
    <x v="3"/>
    <x v="6"/>
    <x v="4"/>
    <x v="12"/>
    <x v="6"/>
    <n v="0.15"/>
    <x v="19"/>
  </r>
  <r>
    <s v="ORD-1021"/>
    <x v="20"/>
    <x v="0"/>
    <x v="1"/>
    <x v="11"/>
    <x v="6"/>
    <x v="2"/>
    <x v="11"/>
    <n v="0.1"/>
    <x v="20"/>
  </r>
  <r>
    <s v="ORD-1022"/>
    <x v="21"/>
    <x v="2"/>
    <x v="3"/>
    <x v="9"/>
    <x v="4"/>
    <x v="13"/>
    <x v="9"/>
    <n v="0"/>
    <x v="21"/>
  </r>
  <r>
    <s v="ORD-1023"/>
    <x v="22"/>
    <x v="2"/>
    <x v="0"/>
    <x v="12"/>
    <x v="4"/>
    <x v="14"/>
    <x v="12"/>
    <n v="0"/>
    <x v="22"/>
  </r>
  <r>
    <s v="ORD-1024"/>
    <x v="23"/>
    <x v="1"/>
    <x v="1"/>
    <x v="11"/>
    <x v="6"/>
    <x v="15"/>
    <x v="11"/>
    <n v="0.1"/>
    <x v="23"/>
  </r>
  <r>
    <s v="ORD-1025"/>
    <x v="24"/>
    <x v="3"/>
    <x v="2"/>
    <x v="13"/>
    <x v="7"/>
    <x v="8"/>
    <x v="13"/>
    <n v="0.15"/>
    <x v="24"/>
  </r>
  <r>
    <s v="ORD-1026"/>
    <x v="25"/>
    <x v="1"/>
    <x v="3"/>
    <x v="9"/>
    <x v="4"/>
    <x v="0"/>
    <x v="9"/>
    <n v="0"/>
    <x v="25"/>
  </r>
  <r>
    <s v="ORD-1027"/>
    <x v="26"/>
    <x v="3"/>
    <x v="3"/>
    <x v="7"/>
    <x v="0"/>
    <x v="1"/>
    <x v="7"/>
    <n v="0"/>
    <x v="26"/>
  </r>
  <r>
    <s v="ORD-1028"/>
    <x v="27"/>
    <x v="2"/>
    <x v="0"/>
    <x v="12"/>
    <x v="1"/>
    <x v="4"/>
    <x v="12"/>
    <n v="0"/>
    <x v="27"/>
  </r>
  <r>
    <s v="ORD-1029"/>
    <x v="28"/>
    <x v="1"/>
    <x v="1"/>
    <x v="14"/>
    <x v="0"/>
    <x v="2"/>
    <x v="14"/>
    <n v="0"/>
    <x v="28"/>
  </r>
  <r>
    <s v="ORD-1030"/>
    <x v="29"/>
    <x v="1"/>
    <x v="2"/>
    <x v="13"/>
    <x v="3"/>
    <x v="9"/>
    <x v="13"/>
    <n v="0"/>
    <x v="29"/>
  </r>
  <r>
    <s v="ORD-1031"/>
    <x v="30"/>
    <x v="1"/>
    <x v="2"/>
    <x v="15"/>
    <x v="3"/>
    <x v="16"/>
    <x v="15"/>
    <n v="0.15"/>
    <x v="30"/>
  </r>
  <r>
    <s v="ORD-1032"/>
    <x v="31"/>
    <x v="1"/>
    <x v="0"/>
    <x v="0"/>
    <x v="2"/>
    <x v="17"/>
    <x v="0"/>
    <n v="0"/>
    <x v="31"/>
  </r>
  <r>
    <s v="ORD-1033"/>
    <x v="32"/>
    <x v="1"/>
    <x v="1"/>
    <x v="2"/>
    <x v="6"/>
    <x v="18"/>
    <x v="2"/>
    <n v="0"/>
    <x v="32"/>
  </r>
  <r>
    <s v="ORD-1034"/>
    <x v="33"/>
    <x v="2"/>
    <x v="2"/>
    <x v="13"/>
    <x v="5"/>
    <x v="2"/>
    <x v="13"/>
    <n v="0"/>
    <x v="33"/>
  </r>
  <r>
    <s v="ORD-1035"/>
    <x v="34"/>
    <x v="3"/>
    <x v="0"/>
    <x v="0"/>
    <x v="6"/>
    <x v="18"/>
    <x v="0"/>
    <n v="0.05"/>
    <x v="34"/>
  </r>
  <r>
    <s v="ORD-1036"/>
    <x v="35"/>
    <x v="2"/>
    <x v="1"/>
    <x v="10"/>
    <x v="6"/>
    <x v="8"/>
    <x v="10"/>
    <n v="0"/>
    <x v="35"/>
  </r>
  <r>
    <s v="ORD-1037"/>
    <x v="36"/>
    <x v="0"/>
    <x v="3"/>
    <x v="9"/>
    <x v="3"/>
    <x v="2"/>
    <x v="9"/>
    <n v="0.15"/>
    <x v="36"/>
  </r>
  <r>
    <s v="ORD-1038"/>
    <x v="37"/>
    <x v="0"/>
    <x v="1"/>
    <x v="11"/>
    <x v="0"/>
    <x v="7"/>
    <x v="11"/>
    <n v="0.1"/>
    <x v="37"/>
  </r>
  <r>
    <s v="ORD-1039"/>
    <x v="38"/>
    <x v="2"/>
    <x v="0"/>
    <x v="16"/>
    <x v="1"/>
    <x v="11"/>
    <x v="16"/>
    <n v="0.05"/>
    <x v="38"/>
  </r>
  <r>
    <s v="ORD-1040"/>
    <x v="39"/>
    <x v="2"/>
    <x v="1"/>
    <x v="17"/>
    <x v="6"/>
    <x v="6"/>
    <x v="17"/>
    <n v="0.1"/>
    <x v="39"/>
  </r>
  <r>
    <s v="ORD-1041"/>
    <x v="40"/>
    <x v="2"/>
    <x v="1"/>
    <x v="10"/>
    <x v="0"/>
    <x v="11"/>
    <x v="10"/>
    <n v="0.1"/>
    <x v="40"/>
  </r>
  <r>
    <s v="ORD-1042"/>
    <x v="41"/>
    <x v="0"/>
    <x v="0"/>
    <x v="18"/>
    <x v="7"/>
    <x v="9"/>
    <x v="5"/>
    <n v="0.15"/>
    <x v="41"/>
  </r>
  <r>
    <s v="ORD-1043"/>
    <x v="12"/>
    <x v="1"/>
    <x v="1"/>
    <x v="14"/>
    <x v="6"/>
    <x v="12"/>
    <x v="14"/>
    <n v="0.05"/>
    <x v="42"/>
  </r>
  <r>
    <s v="ORD-1044"/>
    <x v="42"/>
    <x v="1"/>
    <x v="0"/>
    <x v="0"/>
    <x v="4"/>
    <x v="6"/>
    <x v="0"/>
    <n v="0.1"/>
    <x v="43"/>
  </r>
  <r>
    <s v="ORD-1045"/>
    <x v="43"/>
    <x v="0"/>
    <x v="3"/>
    <x v="8"/>
    <x v="4"/>
    <x v="0"/>
    <x v="8"/>
    <n v="0"/>
    <x v="44"/>
  </r>
  <r>
    <s v="ORD-1046"/>
    <x v="44"/>
    <x v="0"/>
    <x v="1"/>
    <x v="10"/>
    <x v="1"/>
    <x v="2"/>
    <x v="10"/>
    <n v="0"/>
    <x v="45"/>
  </r>
  <r>
    <s v="ORD-1047"/>
    <x v="45"/>
    <x v="0"/>
    <x v="0"/>
    <x v="12"/>
    <x v="4"/>
    <x v="17"/>
    <x v="12"/>
    <n v="0.15"/>
    <x v="46"/>
  </r>
  <r>
    <s v="ORD-1048"/>
    <x v="46"/>
    <x v="0"/>
    <x v="1"/>
    <x v="14"/>
    <x v="0"/>
    <x v="4"/>
    <x v="14"/>
    <n v="0"/>
    <x v="47"/>
  </r>
  <r>
    <s v="ORD-1049"/>
    <x v="47"/>
    <x v="1"/>
    <x v="3"/>
    <x v="6"/>
    <x v="7"/>
    <x v="7"/>
    <x v="6"/>
    <n v="0"/>
    <x v="11"/>
  </r>
  <r>
    <s v="ORD-1050"/>
    <x v="48"/>
    <x v="2"/>
    <x v="2"/>
    <x v="15"/>
    <x v="1"/>
    <x v="4"/>
    <x v="15"/>
    <n v="0"/>
    <x v="48"/>
  </r>
  <r>
    <s v="ORD-1051"/>
    <x v="49"/>
    <x v="1"/>
    <x v="3"/>
    <x v="8"/>
    <x v="3"/>
    <x v="2"/>
    <x v="8"/>
    <n v="0"/>
    <x v="49"/>
  </r>
  <r>
    <s v="ORD-1052"/>
    <x v="50"/>
    <x v="2"/>
    <x v="0"/>
    <x v="12"/>
    <x v="2"/>
    <x v="11"/>
    <x v="12"/>
    <n v="0.1"/>
    <x v="50"/>
  </r>
  <r>
    <s v="ORD-1053"/>
    <x v="51"/>
    <x v="2"/>
    <x v="2"/>
    <x v="13"/>
    <x v="7"/>
    <x v="13"/>
    <x v="13"/>
    <n v="0"/>
    <x v="51"/>
  </r>
  <r>
    <s v="ORD-1054"/>
    <x v="52"/>
    <x v="2"/>
    <x v="1"/>
    <x v="11"/>
    <x v="2"/>
    <x v="2"/>
    <x v="11"/>
    <n v="0.05"/>
    <x v="52"/>
  </r>
  <r>
    <s v="ORD-1055"/>
    <x v="53"/>
    <x v="3"/>
    <x v="1"/>
    <x v="11"/>
    <x v="6"/>
    <x v="18"/>
    <x v="11"/>
    <n v="0"/>
    <x v="53"/>
  </r>
  <r>
    <s v="ORD-1056"/>
    <x v="54"/>
    <x v="3"/>
    <x v="3"/>
    <x v="9"/>
    <x v="7"/>
    <x v="3"/>
    <x v="9"/>
    <n v="0.15"/>
    <x v="54"/>
  </r>
  <r>
    <s v="ORD-1057"/>
    <x v="55"/>
    <x v="1"/>
    <x v="2"/>
    <x v="5"/>
    <x v="0"/>
    <x v="9"/>
    <x v="5"/>
    <n v="0.05"/>
    <x v="55"/>
  </r>
  <r>
    <s v="ORD-1058"/>
    <x v="56"/>
    <x v="3"/>
    <x v="3"/>
    <x v="8"/>
    <x v="1"/>
    <x v="9"/>
    <x v="8"/>
    <n v="0.05"/>
    <x v="56"/>
  </r>
  <r>
    <s v="ORD-1059"/>
    <x v="57"/>
    <x v="0"/>
    <x v="3"/>
    <x v="7"/>
    <x v="2"/>
    <x v="19"/>
    <x v="7"/>
    <n v="0.05"/>
    <x v="57"/>
  </r>
  <r>
    <s v="ORD-1060"/>
    <x v="58"/>
    <x v="2"/>
    <x v="3"/>
    <x v="7"/>
    <x v="7"/>
    <x v="3"/>
    <x v="7"/>
    <n v="0.1"/>
    <x v="58"/>
  </r>
  <r>
    <s v="ORD-1061"/>
    <x v="23"/>
    <x v="1"/>
    <x v="0"/>
    <x v="0"/>
    <x v="2"/>
    <x v="4"/>
    <x v="0"/>
    <n v="0.05"/>
    <x v="59"/>
  </r>
  <r>
    <s v="ORD-1062"/>
    <x v="59"/>
    <x v="3"/>
    <x v="0"/>
    <x v="18"/>
    <x v="7"/>
    <x v="7"/>
    <x v="5"/>
    <n v="0.15"/>
    <x v="60"/>
  </r>
  <r>
    <s v="ORD-1063"/>
    <x v="60"/>
    <x v="3"/>
    <x v="0"/>
    <x v="1"/>
    <x v="2"/>
    <x v="18"/>
    <x v="1"/>
    <n v="0"/>
    <x v="61"/>
  </r>
  <r>
    <s v="ORD-1064"/>
    <x v="61"/>
    <x v="0"/>
    <x v="3"/>
    <x v="6"/>
    <x v="4"/>
    <x v="12"/>
    <x v="6"/>
    <n v="0.1"/>
    <x v="62"/>
  </r>
  <r>
    <s v="ORD-1065"/>
    <x v="31"/>
    <x v="1"/>
    <x v="2"/>
    <x v="15"/>
    <x v="7"/>
    <x v="2"/>
    <x v="15"/>
    <n v="0"/>
    <x v="63"/>
  </r>
  <r>
    <s v="ORD-1066"/>
    <x v="20"/>
    <x v="3"/>
    <x v="2"/>
    <x v="19"/>
    <x v="7"/>
    <x v="8"/>
    <x v="12"/>
    <n v="0.1"/>
    <x v="64"/>
  </r>
  <r>
    <s v="ORD-1067"/>
    <x v="62"/>
    <x v="3"/>
    <x v="3"/>
    <x v="4"/>
    <x v="3"/>
    <x v="11"/>
    <x v="4"/>
    <n v="0.1"/>
    <x v="65"/>
  </r>
  <r>
    <s v="ORD-1068"/>
    <x v="63"/>
    <x v="1"/>
    <x v="3"/>
    <x v="9"/>
    <x v="5"/>
    <x v="9"/>
    <x v="9"/>
    <n v="0.1"/>
    <x v="12"/>
  </r>
  <r>
    <s v="ORD-1069"/>
    <x v="64"/>
    <x v="0"/>
    <x v="1"/>
    <x v="17"/>
    <x v="2"/>
    <x v="6"/>
    <x v="17"/>
    <n v="0"/>
    <x v="66"/>
  </r>
  <r>
    <s v="ORD-1070"/>
    <x v="65"/>
    <x v="3"/>
    <x v="3"/>
    <x v="8"/>
    <x v="6"/>
    <x v="1"/>
    <x v="8"/>
    <n v="0"/>
    <x v="67"/>
  </r>
  <r>
    <s v="ORD-1071"/>
    <x v="66"/>
    <x v="2"/>
    <x v="2"/>
    <x v="3"/>
    <x v="5"/>
    <x v="18"/>
    <x v="3"/>
    <n v="0.15"/>
    <x v="68"/>
  </r>
  <r>
    <s v="ORD-1072"/>
    <x v="62"/>
    <x v="1"/>
    <x v="1"/>
    <x v="10"/>
    <x v="3"/>
    <x v="0"/>
    <x v="10"/>
    <n v="0"/>
    <x v="69"/>
  </r>
  <r>
    <s v="ORD-1073"/>
    <x v="67"/>
    <x v="1"/>
    <x v="0"/>
    <x v="0"/>
    <x v="0"/>
    <x v="3"/>
    <x v="0"/>
    <n v="0.15"/>
    <x v="70"/>
  </r>
  <r>
    <s v="ORD-1074"/>
    <x v="68"/>
    <x v="3"/>
    <x v="2"/>
    <x v="5"/>
    <x v="4"/>
    <x v="16"/>
    <x v="5"/>
    <n v="0"/>
    <x v="71"/>
  </r>
  <r>
    <s v="ORD-1075"/>
    <x v="69"/>
    <x v="1"/>
    <x v="3"/>
    <x v="9"/>
    <x v="5"/>
    <x v="3"/>
    <x v="9"/>
    <n v="0.15"/>
    <x v="54"/>
  </r>
  <r>
    <s v="ORD-1076"/>
    <x v="70"/>
    <x v="3"/>
    <x v="2"/>
    <x v="15"/>
    <x v="7"/>
    <x v="19"/>
    <x v="15"/>
    <n v="0.05"/>
    <x v="72"/>
  </r>
  <r>
    <s v="ORD-1077"/>
    <x v="71"/>
    <x v="1"/>
    <x v="1"/>
    <x v="14"/>
    <x v="4"/>
    <x v="12"/>
    <x v="14"/>
    <n v="0"/>
    <x v="73"/>
  </r>
  <r>
    <s v="ORD-1078"/>
    <x v="72"/>
    <x v="2"/>
    <x v="3"/>
    <x v="4"/>
    <x v="6"/>
    <x v="10"/>
    <x v="4"/>
    <n v="0"/>
    <x v="74"/>
  </r>
  <r>
    <s v="ORD-1079"/>
    <x v="37"/>
    <x v="2"/>
    <x v="1"/>
    <x v="11"/>
    <x v="3"/>
    <x v="18"/>
    <x v="11"/>
    <n v="0"/>
    <x v="53"/>
  </r>
  <r>
    <s v="ORD-1080"/>
    <x v="73"/>
    <x v="2"/>
    <x v="2"/>
    <x v="19"/>
    <x v="0"/>
    <x v="18"/>
    <x v="12"/>
    <n v="0.05"/>
    <x v="75"/>
  </r>
  <r>
    <s v="ORD-1081"/>
    <x v="74"/>
    <x v="1"/>
    <x v="0"/>
    <x v="1"/>
    <x v="5"/>
    <x v="1"/>
    <x v="1"/>
    <n v="0"/>
    <x v="1"/>
  </r>
  <r>
    <s v="ORD-1082"/>
    <x v="59"/>
    <x v="3"/>
    <x v="2"/>
    <x v="19"/>
    <x v="5"/>
    <x v="0"/>
    <x v="12"/>
    <n v="0"/>
    <x v="76"/>
  </r>
  <r>
    <s v="ORD-1083"/>
    <x v="75"/>
    <x v="1"/>
    <x v="2"/>
    <x v="5"/>
    <x v="2"/>
    <x v="8"/>
    <x v="5"/>
    <n v="0.15"/>
    <x v="77"/>
  </r>
  <r>
    <s v="ORD-1084"/>
    <x v="44"/>
    <x v="2"/>
    <x v="2"/>
    <x v="13"/>
    <x v="3"/>
    <x v="11"/>
    <x v="13"/>
    <n v="0.1"/>
    <x v="75"/>
  </r>
  <r>
    <s v="ORD-1085"/>
    <x v="33"/>
    <x v="1"/>
    <x v="0"/>
    <x v="0"/>
    <x v="6"/>
    <x v="16"/>
    <x v="0"/>
    <n v="0"/>
    <x v="78"/>
  </r>
  <r>
    <s v="ORD-1086"/>
    <x v="76"/>
    <x v="0"/>
    <x v="3"/>
    <x v="9"/>
    <x v="0"/>
    <x v="16"/>
    <x v="9"/>
    <n v="0"/>
    <x v="17"/>
  </r>
  <r>
    <s v="ORD-1087"/>
    <x v="77"/>
    <x v="1"/>
    <x v="2"/>
    <x v="15"/>
    <x v="7"/>
    <x v="6"/>
    <x v="15"/>
    <n v="0.05"/>
    <x v="79"/>
  </r>
  <r>
    <s v="ORD-1088"/>
    <x v="78"/>
    <x v="3"/>
    <x v="0"/>
    <x v="16"/>
    <x v="4"/>
    <x v="7"/>
    <x v="16"/>
    <n v="0"/>
    <x v="17"/>
  </r>
  <r>
    <s v="ORD-1089"/>
    <x v="79"/>
    <x v="3"/>
    <x v="1"/>
    <x v="17"/>
    <x v="0"/>
    <x v="10"/>
    <x v="17"/>
    <n v="0.05"/>
    <x v="80"/>
  </r>
  <r>
    <s v="ORD-1090"/>
    <x v="80"/>
    <x v="3"/>
    <x v="0"/>
    <x v="1"/>
    <x v="5"/>
    <x v="15"/>
    <x v="1"/>
    <n v="0"/>
    <x v="81"/>
  </r>
  <r>
    <s v="ORD-1091"/>
    <x v="81"/>
    <x v="0"/>
    <x v="0"/>
    <x v="12"/>
    <x v="4"/>
    <x v="11"/>
    <x v="12"/>
    <n v="0"/>
    <x v="82"/>
  </r>
  <r>
    <s v="ORD-1092"/>
    <x v="82"/>
    <x v="3"/>
    <x v="2"/>
    <x v="19"/>
    <x v="4"/>
    <x v="11"/>
    <x v="12"/>
    <n v="0.15"/>
    <x v="83"/>
  </r>
  <r>
    <s v="ORD-1093"/>
    <x v="83"/>
    <x v="0"/>
    <x v="1"/>
    <x v="17"/>
    <x v="4"/>
    <x v="11"/>
    <x v="17"/>
    <n v="0"/>
    <x v="84"/>
  </r>
  <r>
    <s v="ORD-1094"/>
    <x v="84"/>
    <x v="2"/>
    <x v="2"/>
    <x v="15"/>
    <x v="2"/>
    <x v="1"/>
    <x v="15"/>
    <n v="0.05"/>
    <x v="85"/>
  </r>
  <r>
    <s v="ORD-1095"/>
    <x v="85"/>
    <x v="0"/>
    <x v="0"/>
    <x v="18"/>
    <x v="5"/>
    <x v="10"/>
    <x v="5"/>
    <n v="0.05"/>
    <x v="86"/>
  </r>
  <r>
    <s v="ORD-1096"/>
    <x v="86"/>
    <x v="1"/>
    <x v="3"/>
    <x v="6"/>
    <x v="5"/>
    <x v="18"/>
    <x v="6"/>
    <n v="0.15"/>
    <x v="87"/>
  </r>
  <r>
    <s v="ORD-1097"/>
    <x v="87"/>
    <x v="3"/>
    <x v="3"/>
    <x v="4"/>
    <x v="4"/>
    <x v="15"/>
    <x v="4"/>
    <n v="0.05"/>
    <x v="88"/>
  </r>
  <r>
    <s v="ORD-1098"/>
    <x v="88"/>
    <x v="1"/>
    <x v="2"/>
    <x v="3"/>
    <x v="2"/>
    <x v="1"/>
    <x v="3"/>
    <n v="0.05"/>
    <x v="89"/>
  </r>
  <r>
    <s v="ORD-1099"/>
    <x v="89"/>
    <x v="3"/>
    <x v="1"/>
    <x v="10"/>
    <x v="2"/>
    <x v="15"/>
    <x v="10"/>
    <n v="0"/>
    <x v="90"/>
  </r>
  <r>
    <s v="ORD-1100"/>
    <x v="90"/>
    <x v="2"/>
    <x v="3"/>
    <x v="6"/>
    <x v="0"/>
    <x v="6"/>
    <x v="6"/>
    <n v="0"/>
    <x v="91"/>
  </r>
  <r>
    <s v="ORD-1101"/>
    <x v="91"/>
    <x v="3"/>
    <x v="2"/>
    <x v="3"/>
    <x v="5"/>
    <x v="14"/>
    <x v="3"/>
    <n v="0.05"/>
    <x v="92"/>
  </r>
  <r>
    <s v="ORD-1102"/>
    <x v="44"/>
    <x v="3"/>
    <x v="0"/>
    <x v="16"/>
    <x v="3"/>
    <x v="0"/>
    <x v="16"/>
    <n v="0"/>
    <x v="15"/>
  </r>
  <r>
    <s v="ORD-1103"/>
    <x v="92"/>
    <x v="0"/>
    <x v="3"/>
    <x v="9"/>
    <x v="3"/>
    <x v="2"/>
    <x v="9"/>
    <n v="0"/>
    <x v="93"/>
  </r>
  <r>
    <s v="ORD-1104"/>
    <x v="31"/>
    <x v="0"/>
    <x v="2"/>
    <x v="15"/>
    <x v="7"/>
    <x v="0"/>
    <x v="15"/>
    <n v="0"/>
    <x v="94"/>
  </r>
  <r>
    <s v="ORD-1105"/>
    <x v="93"/>
    <x v="3"/>
    <x v="3"/>
    <x v="7"/>
    <x v="0"/>
    <x v="9"/>
    <x v="7"/>
    <n v="0.15"/>
    <x v="95"/>
  </r>
  <r>
    <s v="ORD-1106"/>
    <x v="7"/>
    <x v="0"/>
    <x v="3"/>
    <x v="6"/>
    <x v="4"/>
    <x v="9"/>
    <x v="6"/>
    <n v="0"/>
    <x v="96"/>
  </r>
  <r>
    <s v="ORD-1107"/>
    <x v="94"/>
    <x v="0"/>
    <x v="3"/>
    <x v="8"/>
    <x v="1"/>
    <x v="2"/>
    <x v="8"/>
    <n v="0"/>
    <x v="49"/>
  </r>
  <r>
    <s v="ORD-1108"/>
    <x v="95"/>
    <x v="0"/>
    <x v="0"/>
    <x v="0"/>
    <x v="6"/>
    <x v="14"/>
    <x v="0"/>
    <n v="0"/>
    <x v="97"/>
  </r>
  <r>
    <s v="ORD-1109"/>
    <x v="96"/>
    <x v="1"/>
    <x v="3"/>
    <x v="9"/>
    <x v="5"/>
    <x v="4"/>
    <x v="9"/>
    <n v="0"/>
    <x v="98"/>
  </r>
  <r>
    <s v="ORD-1110"/>
    <x v="97"/>
    <x v="2"/>
    <x v="3"/>
    <x v="9"/>
    <x v="4"/>
    <x v="8"/>
    <x v="9"/>
    <n v="0.05"/>
    <x v="99"/>
  </r>
  <r>
    <s v="ORD-1111"/>
    <x v="98"/>
    <x v="3"/>
    <x v="0"/>
    <x v="12"/>
    <x v="7"/>
    <x v="6"/>
    <x v="12"/>
    <n v="0"/>
    <x v="100"/>
  </r>
  <r>
    <s v="ORD-1112"/>
    <x v="74"/>
    <x v="3"/>
    <x v="2"/>
    <x v="3"/>
    <x v="3"/>
    <x v="16"/>
    <x v="3"/>
    <n v="0.05"/>
    <x v="101"/>
  </r>
  <r>
    <s v="ORD-1113"/>
    <x v="99"/>
    <x v="2"/>
    <x v="2"/>
    <x v="15"/>
    <x v="4"/>
    <x v="9"/>
    <x v="15"/>
    <n v="0.15"/>
    <x v="102"/>
  </r>
  <r>
    <s v="ORD-1114"/>
    <x v="100"/>
    <x v="3"/>
    <x v="3"/>
    <x v="7"/>
    <x v="0"/>
    <x v="3"/>
    <x v="7"/>
    <n v="0.1"/>
    <x v="58"/>
  </r>
  <r>
    <s v="ORD-1115"/>
    <x v="101"/>
    <x v="1"/>
    <x v="1"/>
    <x v="17"/>
    <x v="5"/>
    <x v="5"/>
    <x v="17"/>
    <n v="0.05"/>
    <x v="84"/>
  </r>
  <r>
    <s v="ORD-1116"/>
    <x v="46"/>
    <x v="0"/>
    <x v="0"/>
    <x v="12"/>
    <x v="7"/>
    <x v="16"/>
    <x v="12"/>
    <n v="0"/>
    <x v="103"/>
  </r>
  <r>
    <s v="ORD-1117"/>
    <x v="102"/>
    <x v="3"/>
    <x v="1"/>
    <x v="14"/>
    <x v="3"/>
    <x v="17"/>
    <x v="14"/>
    <n v="0.1"/>
    <x v="104"/>
  </r>
  <r>
    <s v="ORD-1118"/>
    <x v="103"/>
    <x v="3"/>
    <x v="1"/>
    <x v="14"/>
    <x v="4"/>
    <x v="7"/>
    <x v="14"/>
    <n v="0"/>
    <x v="105"/>
  </r>
  <r>
    <s v="ORD-1119"/>
    <x v="104"/>
    <x v="2"/>
    <x v="3"/>
    <x v="9"/>
    <x v="5"/>
    <x v="12"/>
    <x v="9"/>
    <n v="0.15"/>
    <x v="106"/>
  </r>
  <r>
    <s v="ORD-1120"/>
    <x v="40"/>
    <x v="1"/>
    <x v="3"/>
    <x v="6"/>
    <x v="5"/>
    <x v="6"/>
    <x v="6"/>
    <n v="0.1"/>
    <x v="107"/>
  </r>
  <r>
    <s v="ORD-1121"/>
    <x v="105"/>
    <x v="0"/>
    <x v="2"/>
    <x v="15"/>
    <x v="1"/>
    <x v="6"/>
    <x v="15"/>
    <n v="0"/>
    <x v="108"/>
  </r>
  <r>
    <s v="ORD-1122"/>
    <x v="106"/>
    <x v="2"/>
    <x v="0"/>
    <x v="16"/>
    <x v="6"/>
    <x v="14"/>
    <x v="16"/>
    <n v="0.1"/>
    <x v="109"/>
  </r>
  <r>
    <s v="ORD-1123"/>
    <x v="107"/>
    <x v="3"/>
    <x v="2"/>
    <x v="15"/>
    <x v="3"/>
    <x v="14"/>
    <x v="15"/>
    <n v="0"/>
    <x v="110"/>
  </r>
  <r>
    <s v="ORD-1124"/>
    <x v="56"/>
    <x v="0"/>
    <x v="3"/>
    <x v="9"/>
    <x v="2"/>
    <x v="17"/>
    <x v="9"/>
    <n v="0"/>
    <x v="111"/>
  </r>
  <r>
    <s v="ORD-1125"/>
    <x v="8"/>
    <x v="0"/>
    <x v="2"/>
    <x v="19"/>
    <x v="3"/>
    <x v="2"/>
    <x v="12"/>
    <n v="0"/>
    <x v="112"/>
  </r>
  <r>
    <s v="ORD-1126"/>
    <x v="27"/>
    <x v="0"/>
    <x v="0"/>
    <x v="16"/>
    <x v="2"/>
    <x v="17"/>
    <x v="16"/>
    <n v="0.05"/>
    <x v="113"/>
  </r>
  <r>
    <s v="ORD-1127"/>
    <x v="67"/>
    <x v="1"/>
    <x v="0"/>
    <x v="1"/>
    <x v="3"/>
    <x v="7"/>
    <x v="1"/>
    <n v="0"/>
    <x v="114"/>
  </r>
  <r>
    <s v="ORD-1128"/>
    <x v="9"/>
    <x v="1"/>
    <x v="3"/>
    <x v="6"/>
    <x v="5"/>
    <x v="7"/>
    <x v="6"/>
    <n v="0"/>
    <x v="11"/>
  </r>
  <r>
    <s v="ORD-1129"/>
    <x v="108"/>
    <x v="1"/>
    <x v="1"/>
    <x v="14"/>
    <x v="5"/>
    <x v="17"/>
    <x v="14"/>
    <n v="0"/>
    <x v="86"/>
  </r>
  <r>
    <s v="ORD-1130"/>
    <x v="4"/>
    <x v="0"/>
    <x v="1"/>
    <x v="11"/>
    <x v="1"/>
    <x v="2"/>
    <x v="11"/>
    <n v="0.05"/>
    <x v="52"/>
  </r>
  <r>
    <s v="ORD-1131"/>
    <x v="101"/>
    <x v="1"/>
    <x v="1"/>
    <x v="17"/>
    <x v="4"/>
    <x v="10"/>
    <x v="17"/>
    <n v="0.05"/>
    <x v="80"/>
  </r>
  <r>
    <s v="ORD-1132"/>
    <x v="109"/>
    <x v="1"/>
    <x v="3"/>
    <x v="9"/>
    <x v="5"/>
    <x v="0"/>
    <x v="9"/>
    <n v="0.05"/>
    <x v="115"/>
  </r>
  <r>
    <s v="ORD-1133"/>
    <x v="110"/>
    <x v="3"/>
    <x v="1"/>
    <x v="10"/>
    <x v="6"/>
    <x v="6"/>
    <x v="10"/>
    <n v="0"/>
    <x v="116"/>
  </r>
  <r>
    <s v="ORD-1134"/>
    <x v="74"/>
    <x v="0"/>
    <x v="3"/>
    <x v="6"/>
    <x v="1"/>
    <x v="12"/>
    <x v="6"/>
    <n v="0.15"/>
    <x v="19"/>
  </r>
  <r>
    <s v="ORD-1135"/>
    <x v="109"/>
    <x v="1"/>
    <x v="2"/>
    <x v="13"/>
    <x v="5"/>
    <x v="13"/>
    <x v="13"/>
    <n v="0"/>
    <x v="51"/>
  </r>
  <r>
    <s v="ORD-1136"/>
    <x v="72"/>
    <x v="0"/>
    <x v="2"/>
    <x v="19"/>
    <x v="0"/>
    <x v="0"/>
    <x v="12"/>
    <n v="0.1"/>
    <x v="117"/>
  </r>
  <r>
    <s v="ORD-1137"/>
    <x v="111"/>
    <x v="2"/>
    <x v="1"/>
    <x v="10"/>
    <x v="2"/>
    <x v="14"/>
    <x v="10"/>
    <n v="0.15"/>
    <x v="41"/>
  </r>
  <r>
    <s v="ORD-1138"/>
    <x v="112"/>
    <x v="1"/>
    <x v="2"/>
    <x v="13"/>
    <x v="1"/>
    <x v="10"/>
    <x v="13"/>
    <n v="0.1"/>
    <x v="118"/>
  </r>
  <r>
    <s v="ORD-1139"/>
    <x v="113"/>
    <x v="1"/>
    <x v="3"/>
    <x v="7"/>
    <x v="4"/>
    <x v="19"/>
    <x v="7"/>
    <n v="0.05"/>
    <x v="57"/>
  </r>
  <r>
    <s v="ORD-1140"/>
    <x v="114"/>
    <x v="3"/>
    <x v="1"/>
    <x v="10"/>
    <x v="4"/>
    <x v="14"/>
    <x v="10"/>
    <n v="0"/>
    <x v="119"/>
  </r>
  <r>
    <s v="ORD-1141"/>
    <x v="36"/>
    <x v="0"/>
    <x v="2"/>
    <x v="5"/>
    <x v="3"/>
    <x v="4"/>
    <x v="5"/>
    <n v="0.15"/>
    <x v="120"/>
  </r>
  <r>
    <s v="ORD-1142"/>
    <x v="115"/>
    <x v="2"/>
    <x v="0"/>
    <x v="1"/>
    <x v="0"/>
    <x v="12"/>
    <x v="1"/>
    <n v="0"/>
    <x v="121"/>
  </r>
  <r>
    <s v="ORD-1143"/>
    <x v="116"/>
    <x v="2"/>
    <x v="2"/>
    <x v="5"/>
    <x v="5"/>
    <x v="3"/>
    <x v="5"/>
    <n v="0.15"/>
    <x v="122"/>
  </r>
  <r>
    <s v="ORD-1144"/>
    <x v="117"/>
    <x v="0"/>
    <x v="0"/>
    <x v="0"/>
    <x v="1"/>
    <x v="12"/>
    <x v="0"/>
    <n v="0"/>
    <x v="123"/>
  </r>
  <r>
    <s v="ORD-1145"/>
    <x v="118"/>
    <x v="3"/>
    <x v="2"/>
    <x v="13"/>
    <x v="3"/>
    <x v="11"/>
    <x v="13"/>
    <n v="0.15"/>
    <x v="124"/>
  </r>
  <r>
    <s v="ORD-1146"/>
    <x v="119"/>
    <x v="2"/>
    <x v="1"/>
    <x v="11"/>
    <x v="3"/>
    <x v="5"/>
    <x v="11"/>
    <n v="0.15"/>
    <x v="125"/>
  </r>
  <r>
    <s v="ORD-1147"/>
    <x v="120"/>
    <x v="3"/>
    <x v="2"/>
    <x v="3"/>
    <x v="0"/>
    <x v="16"/>
    <x v="3"/>
    <n v="0.15"/>
    <x v="126"/>
  </r>
  <r>
    <s v="ORD-1148"/>
    <x v="121"/>
    <x v="2"/>
    <x v="2"/>
    <x v="15"/>
    <x v="5"/>
    <x v="12"/>
    <x v="15"/>
    <n v="0.15"/>
    <x v="127"/>
  </r>
  <r>
    <s v="ORD-1149"/>
    <x v="122"/>
    <x v="1"/>
    <x v="1"/>
    <x v="17"/>
    <x v="2"/>
    <x v="11"/>
    <x v="17"/>
    <n v="0"/>
    <x v="84"/>
  </r>
  <r>
    <s v="ORD-1150"/>
    <x v="93"/>
    <x v="1"/>
    <x v="2"/>
    <x v="15"/>
    <x v="7"/>
    <x v="9"/>
    <x v="15"/>
    <n v="0.05"/>
    <x v="128"/>
  </r>
  <r>
    <s v="ORD-1151"/>
    <x v="123"/>
    <x v="1"/>
    <x v="0"/>
    <x v="12"/>
    <x v="2"/>
    <x v="11"/>
    <x v="12"/>
    <n v="0"/>
    <x v="82"/>
  </r>
  <r>
    <s v="ORD-1152"/>
    <x v="46"/>
    <x v="1"/>
    <x v="3"/>
    <x v="7"/>
    <x v="7"/>
    <x v="1"/>
    <x v="7"/>
    <n v="0.1"/>
    <x v="129"/>
  </r>
  <r>
    <s v="ORD-1153"/>
    <x v="92"/>
    <x v="1"/>
    <x v="0"/>
    <x v="1"/>
    <x v="7"/>
    <x v="0"/>
    <x v="1"/>
    <n v="0.1"/>
    <x v="130"/>
  </r>
  <r>
    <s v="ORD-1154"/>
    <x v="124"/>
    <x v="0"/>
    <x v="1"/>
    <x v="11"/>
    <x v="6"/>
    <x v="17"/>
    <x v="11"/>
    <n v="0.15"/>
    <x v="131"/>
  </r>
  <r>
    <s v="ORD-1155"/>
    <x v="125"/>
    <x v="1"/>
    <x v="0"/>
    <x v="16"/>
    <x v="1"/>
    <x v="11"/>
    <x v="16"/>
    <n v="0"/>
    <x v="101"/>
  </r>
  <r>
    <s v="ORD-1156"/>
    <x v="125"/>
    <x v="0"/>
    <x v="0"/>
    <x v="16"/>
    <x v="3"/>
    <x v="3"/>
    <x v="16"/>
    <n v="0"/>
    <x v="132"/>
  </r>
  <r>
    <s v="ORD-1157"/>
    <x v="126"/>
    <x v="0"/>
    <x v="3"/>
    <x v="6"/>
    <x v="6"/>
    <x v="15"/>
    <x v="6"/>
    <n v="0.05"/>
    <x v="133"/>
  </r>
  <r>
    <s v="ORD-1158"/>
    <x v="127"/>
    <x v="1"/>
    <x v="3"/>
    <x v="7"/>
    <x v="4"/>
    <x v="10"/>
    <x v="7"/>
    <n v="0"/>
    <x v="134"/>
  </r>
  <r>
    <s v="ORD-1159"/>
    <x v="58"/>
    <x v="0"/>
    <x v="2"/>
    <x v="3"/>
    <x v="4"/>
    <x v="8"/>
    <x v="3"/>
    <n v="0"/>
    <x v="135"/>
  </r>
  <r>
    <s v="ORD-1160"/>
    <x v="48"/>
    <x v="0"/>
    <x v="0"/>
    <x v="18"/>
    <x v="7"/>
    <x v="11"/>
    <x v="5"/>
    <n v="0.05"/>
    <x v="136"/>
  </r>
  <r>
    <s v="ORD-1161"/>
    <x v="128"/>
    <x v="3"/>
    <x v="3"/>
    <x v="7"/>
    <x v="5"/>
    <x v="1"/>
    <x v="7"/>
    <n v="0.1"/>
    <x v="129"/>
  </r>
  <r>
    <s v="ORD-1162"/>
    <x v="129"/>
    <x v="3"/>
    <x v="3"/>
    <x v="6"/>
    <x v="4"/>
    <x v="16"/>
    <x v="6"/>
    <n v="0.15"/>
    <x v="137"/>
  </r>
  <r>
    <s v="ORD-1163"/>
    <x v="130"/>
    <x v="3"/>
    <x v="2"/>
    <x v="5"/>
    <x v="1"/>
    <x v="7"/>
    <x v="5"/>
    <n v="0"/>
    <x v="138"/>
  </r>
  <r>
    <s v="ORD-1164"/>
    <x v="131"/>
    <x v="3"/>
    <x v="0"/>
    <x v="0"/>
    <x v="6"/>
    <x v="8"/>
    <x v="0"/>
    <n v="0.05"/>
    <x v="139"/>
  </r>
  <r>
    <s v="ORD-1165"/>
    <x v="132"/>
    <x v="3"/>
    <x v="2"/>
    <x v="3"/>
    <x v="3"/>
    <x v="17"/>
    <x v="3"/>
    <n v="0.05"/>
    <x v="140"/>
  </r>
  <r>
    <s v="ORD-1166"/>
    <x v="133"/>
    <x v="2"/>
    <x v="2"/>
    <x v="15"/>
    <x v="2"/>
    <x v="9"/>
    <x v="15"/>
    <n v="0.05"/>
    <x v="128"/>
  </r>
  <r>
    <s v="ORD-1167"/>
    <x v="51"/>
    <x v="2"/>
    <x v="1"/>
    <x v="14"/>
    <x v="2"/>
    <x v="2"/>
    <x v="14"/>
    <n v="0.15"/>
    <x v="141"/>
  </r>
  <r>
    <s v="ORD-1168"/>
    <x v="115"/>
    <x v="0"/>
    <x v="0"/>
    <x v="18"/>
    <x v="0"/>
    <x v="17"/>
    <x v="5"/>
    <n v="0.05"/>
    <x v="142"/>
  </r>
  <r>
    <s v="ORD-1169"/>
    <x v="134"/>
    <x v="2"/>
    <x v="1"/>
    <x v="2"/>
    <x v="1"/>
    <x v="4"/>
    <x v="2"/>
    <n v="0"/>
    <x v="143"/>
  </r>
  <r>
    <s v="ORD-1170"/>
    <x v="50"/>
    <x v="3"/>
    <x v="1"/>
    <x v="17"/>
    <x v="0"/>
    <x v="0"/>
    <x v="17"/>
    <n v="0"/>
    <x v="144"/>
  </r>
  <r>
    <s v="ORD-1171"/>
    <x v="135"/>
    <x v="3"/>
    <x v="0"/>
    <x v="16"/>
    <x v="6"/>
    <x v="2"/>
    <x v="16"/>
    <n v="0"/>
    <x v="145"/>
  </r>
  <r>
    <s v="ORD-1172"/>
    <x v="136"/>
    <x v="3"/>
    <x v="0"/>
    <x v="0"/>
    <x v="1"/>
    <x v="13"/>
    <x v="0"/>
    <n v="0"/>
    <x v="146"/>
  </r>
  <r>
    <s v="ORD-1173"/>
    <x v="137"/>
    <x v="3"/>
    <x v="3"/>
    <x v="7"/>
    <x v="7"/>
    <x v="7"/>
    <x v="7"/>
    <n v="0"/>
    <x v="111"/>
  </r>
  <r>
    <s v="ORD-1174"/>
    <x v="86"/>
    <x v="1"/>
    <x v="0"/>
    <x v="0"/>
    <x v="5"/>
    <x v="13"/>
    <x v="0"/>
    <n v="0.1"/>
    <x v="147"/>
  </r>
  <r>
    <s v="ORD-1175"/>
    <x v="138"/>
    <x v="3"/>
    <x v="0"/>
    <x v="18"/>
    <x v="1"/>
    <x v="19"/>
    <x v="5"/>
    <n v="0"/>
    <x v="148"/>
  </r>
  <r>
    <s v="ORD-1176"/>
    <x v="54"/>
    <x v="1"/>
    <x v="0"/>
    <x v="0"/>
    <x v="3"/>
    <x v="18"/>
    <x v="0"/>
    <n v="0.15"/>
    <x v="149"/>
  </r>
  <r>
    <s v="ORD-1177"/>
    <x v="50"/>
    <x v="2"/>
    <x v="2"/>
    <x v="19"/>
    <x v="4"/>
    <x v="4"/>
    <x v="12"/>
    <n v="0.1"/>
    <x v="150"/>
  </r>
  <r>
    <s v="ORD-1178"/>
    <x v="139"/>
    <x v="0"/>
    <x v="0"/>
    <x v="12"/>
    <x v="2"/>
    <x v="8"/>
    <x v="12"/>
    <n v="0.1"/>
    <x v="64"/>
  </r>
  <r>
    <s v="ORD-1179"/>
    <x v="106"/>
    <x v="1"/>
    <x v="3"/>
    <x v="9"/>
    <x v="4"/>
    <x v="17"/>
    <x v="9"/>
    <n v="0.15"/>
    <x v="151"/>
  </r>
  <r>
    <s v="ORD-1180"/>
    <x v="8"/>
    <x v="1"/>
    <x v="1"/>
    <x v="10"/>
    <x v="0"/>
    <x v="18"/>
    <x v="10"/>
    <n v="0"/>
    <x v="152"/>
  </r>
  <r>
    <s v="ORD-1181"/>
    <x v="60"/>
    <x v="2"/>
    <x v="2"/>
    <x v="19"/>
    <x v="2"/>
    <x v="18"/>
    <x v="12"/>
    <n v="0"/>
    <x v="33"/>
  </r>
  <r>
    <s v="ORD-1182"/>
    <x v="140"/>
    <x v="3"/>
    <x v="3"/>
    <x v="4"/>
    <x v="5"/>
    <x v="6"/>
    <x v="4"/>
    <n v="0"/>
    <x v="153"/>
  </r>
  <r>
    <s v="ORD-1183"/>
    <x v="141"/>
    <x v="2"/>
    <x v="0"/>
    <x v="18"/>
    <x v="2"/>
    <x v="10"/>
    <x v="5"/>
    <n v="0.1"/>
    <x v="15"/>
  </r>
  <r>
    <s v="ORD-1184"/>
    <x v="96"/>
    <x v="1"/>
    <x v="3"/>
    <x v="7"/>
    <x v="2"/>
    <x v="18"/>
    <x v="7"/>
    <n v="0.15"/>
    <x v="154"/>
  </r>
  <r>
    <s v="ORD-1185"/>
    <x v="19"/>
    <x v="0"/>
    <x v="3"/>
    <x v="6"/>
    <x v="2"/>
    <x v="17"/>
    <x v="6"/>
    <n v="0.1"/>
    <x v="155"/>
  </r>
  <r>
    <s v="ORD-1186"/>
    <x v="142"/>
    <x v="1"/>
    <x v="1"/>
    <x v="11"/>
    <x v="0"/>
    <x v="17"/>
    <x v="11"/>
    <n v="0"/>
    <x v="156"/>
  </r>
  <r>
    <s v="ORD-1187"/>
    <x v="143"/>
    <x v="0"/>
    <x v="3"/>
    <x v="7"/>
    <x v="0"/>
    <x v="18"/>
    <x v="7"/>
    <n v="0.1"/>
    <x v="157"/>
  </r>
  <r>
    <s v="ORD-1188"/>
    <x v="144"/>
    <x v="0"/>
    <x v="0"/>
    <x v="1"/>
    <x v="1"/>
    <x v="3"/>
    <x v="1"/>
    <n v="0"/>
    <x v="158"/>
  </r>
  <r>
    <s v="ORD-1189"/>
    <x v="145"/>
    <x v="0"/>
    <x v="3"/>
    <x v="4"/>
    <x v="1"/>
    <x v="3"/>
    <x v="4"/>
    <n v="0"/>
    <x v="159"/>
  </r>
  <r>
    <s v="ORD-1190"/>
    <x v="139"/>
    <x v="3"/>
    <x v="2"/>
    <x v="5"/>
    <x v="1"/>
    <x v="6"/>
    <x v="5"/>
    <n v="0.15"/>
    <x v="160"/>
  </r>
  <r>
    <s v="ORD-1191"/>
    <x v="131"/>
    <x v="1"/>
    <x v="1"/>
    <x v="10"/>
    <x v="5"/>
    <x v="4"/>
    <x v="10"/>
    <n v="0"/>
    <x v="161"/>
  </r>
  <r>
    <s v="ORD-1192"/>
    <x v="146"/>
    <x v="2"/>
    <x v="3"/>
    <x v="4"/>
    <x v="1"/>
    <x v="10"/>
    <x v="4"/>
    <n v="0"/>
    <x v="74"/>
  </r>
  <r>
    <s v="ORD-1193"/>
    <x v="23"/>
    <x v="0"/>
    <x v="0"/>
    <x v="0"/>
    <x v="5"/>
    <x v="18"/>
    <x v="0"/>
    <n v="0.05"/>
    <x v="34"/>
  </r>
  <r>
    <s v="ORD-1194"/>
    <x v="147"/>
    <x v="0"/>
    <x v="2"/>
    <x v="19"/>
    <x v="0"/>
    <x v="19"/>
    <x v="12"/>
    <n v="0"/>
    <x v="70"/>
  </r>
  <r>
    <s v="ORD-1195"/>
    <x v="103"/>
    <x v="0"/>
    <x v="2"/>
    <x v="5"/>
    <x v="5"/>
    <x v="19"/>
    <x v="5"/>
    <n v="0.15"/>
    <x v="162"/>
  </r>
  <r>
    <s v="ORD-1196"/>
    <x v="129"/>
    <x v="1"/>
    <x v="0"/>
    <x v="12"/>
    <x v="1"/>
    <x v="1"/>
    <x v="12"/>
    <n v="0"/>
    <x v="163"/>
  </r>
  <r>
    <s v="ORD-1197"/>
    <x v="148"/>
    <x v="0"/>
    <x v="1"/>
    <x v="11"/>
    <x v="7"/>
    <x v="4"/>
    <x v="11"/>
    <n v="0"/>
    <x v="164"/>
  </r>
  <r>
    <s v="ORD-1198"/>
    <x v="149"/>
    <x v="3"/>
    <x v="2"/>
    <x v="19"/>
    <x v="6"/>
    <x v="8"/>
    <x v="12"/>
    <n v="0.1"/>
    <x v="64"/>
  </r>
  <r>
    <s v="ORD-1199"/>
    <x v="150"/>
    <x v="0"/>
    <x v="1"/>
    <x v="2"/>
    <x v="4"/>
    <x v="8"/>
    <x v="2"/>
    <n v="0.15"/>
    <x v="165"/>
  </r>
  <r>
    <s v="ORD-1200"/>
    <x v="151"/>
    <x v="1"/>
    <x v="2"/>
    <x v="5"/>
    <x v="4"/>
    <x v="4"/>
    <x v="5"/>
    <n v="0.1"/>
    <x v="1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F66DF5-87F6-4B15-A981-1E58720FB986}" name="PivotTable2"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F9" firstHeaderRow="1" firstDataRow="2" firstDataCol="1"/>
  <pivotFields count="12">
    <pivotField showAll="0"/>
    <pivotField numFmtId="164" showAll="0">
      <items count="153">
        <item x="20"/>
        <item x="18"/>
        <item x="148"/>
        <item x="95"/>
        <item x="113"/>
        <item x="91"/>
        <item x="77"/>
        <item x="11"/>
        <item x="40"/>
        <item x="150"/>
        <item x="5"/>
        <item x="33"/>
        <item x="96"/>
        <item x="30"/>
        <item x="141"/>
        <item x="25"/>
        <item x="39"/>
        <item x="97"/>
        <item x="100"/>
        <item x="140"/>
        <item x="115"/>
        <item x="4"/>
        <item x="29"/>
        <item x="0"/>
        <item x="54"/>
        <item x="49"/>
        <item x="98"/>
        <item x="134"/>
        <item x="125"/>
        <item x="13"/>
        <item x="50"/>
        <item x="15"/>
        <item x="75"/>
        <item x="80"/>
        <item x="135"/>
        <item x="85"/>
        <item x="53"/>
        <item x="118"/>
        <item x="31"/>
        <item x="99"/>
        <item x="42"/>
        <item x="1"/>
        <item x="2"/>
        <item x="102"/>
        <item x="7"/>
        <item x="21"/>
        <item x="119"/>
        <item x="87"/>
        <item x="65"/>
        <item x="78"/>
        <item x="120"/>
        <item x="58"/>
        <item x="9"/>
        <item x="71"/>
        <item x="94"/>
        <item x="32"/>
        <item x="89"/>
        <item x="43"/>
        <item x="101"/>
        <item x="6"/>
        <item x="126"/>
        <item x="74"/>
        <item x="116"/>
        <item x="129"/>
        <item x="103"/>
        <item x="61"/>
        <item x="81"/>
        <item x="41"/>
        <item x="12"/>
        <item x="88"/>
        <item x="56"/>
        <item x="76"/>
        <item x="114"/>
        <item x="147"/>
        <item x="83"/>
        <item x="55"/>
        <item x="92"/>
        <item x="51"/>
        <item x="14"/>
        <item x="131"/>
        <item x="117"/>
        <item x="10"/>
        <item x="111"/>
        <item x="72"/>
        <item x="35"/>
        <item x="104"/>
        <item x="90"/>
        <item x="110"/>
        <item x="137"/>
        <item x="3"/>
        <item x="151"/>
        <item x="59"/>
        <item x="133"/>
        <item x="8"/>
        <item x="138"/>
        <item x="68"/>
        <item x="16"/>
        <item x="107"/>
        <item x="63"/>
        <item x="69"/>
        <item x="34"/>
        <item x="93"/>
        <item x="36"/>
        <item x="84"/>
        <item x="130"/>
        <item x="38"/>
        <item x="19"/>
        <item x="27"/>
        <item x="67"/>
        <item x="139"/>
        <item x="22"/>
        <item x="37"/>
        <item x="121"/>
        <item x="109"/>
        <item x="45"/>
        <item x="142"/>
        <item x="128"/>
        <item x="145"/>
        <item x="28"/>
        <item x="66"/>
        <item x="73"/>
        <item x="136"/>
        <item x="112"/>
        <item x="86"/>
        <item x="23"/>
        <item x="132"/>
        <item x="146"/>
        <item x="52"/>
        <item x="143"/>
        <item x="70"/>
        <item x="82"/>
        <item x="108"/>
        <item x="47"/>
        <item x="48"/>
        <item x="122"/>
        <item x="17"/>
        <item x="124"/>
        <item x="24"/>
        <item x="106"/>
        <item x="62"/>
        <item x="44"/>
        <item x="60"/>
        <item x="79"/>
        <item x="64"/>
        <item x="105"/>
        <item x="127"/>
        <item x="57"/>
        <item x="46"/>
        <item x="123"/>
        <item x="144"/>
        <item x="149"/>
        <item x="26"/>
        <item t="default"/>
      </items>
    </pivotField>
    <pivotField axis="axisRow" showAll="0">
      <items count="5">
        <item x="0"/>
        <item x="2"/>
        <item x="3"/>
        <item x="1"/>
        <item t="default"/>
      </items>
    </pivotField>
    <pivotField axis="axisCol" showAll="0">
      <items count="5">
        <item x="0"/>
        <item x="1"/>
        <item x="2"/>
        <item x="3"/>
        <item t="default"/>
      </items>
    </pivotField>
    <pivotField showAll="0">
      <items count="21">
        <item x="19"/>
        <item x="5"/>
        <item x="14"/>
        <item x="2"/>
        <item x="11"/>
        <item x="15"/>
        <item x="17"/>
        <item x="9"/>
        <item x="18"/>
        <item x="16"/>
        <item x="10"/>
        <item x="0"/>
        <item x="12"/>
        <item x="7"/>
        <item x="8"/>
        <item x="13"/>
        <item x="4"/>
        <item x="6"/>
        <item x="3"/>
        <item x="1"/>
        <item t="default"/>
      </items>
    </pivotField>
    <pivotField showAll="0">
      <items count="9">
        <item x="1"/>
        <item x="4"/>
        <item x="6"/>
        <item x="0"/>
        <item x="7"/>
        <item x="2"/>
        <item x="3"/>
        <item x="5"/>
        <item t="default"/>
      </items>
    </pivotField>
    <pivotField showAll="0"/>
    <pivotField numFmtId="165" showAll="0"/>
    <pivotField numFmtId="9" showAll="0"/>
    <pivotField dataField="1"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Fields count="1">
    <field x="3"/>
  </colFields>
  <colItems count="5">
    <i>
      <x/>
    </i>
    <i>
      <x v="1"/>
    </i>
    <i>
      <x v="2"/>
    </i>
    <i>
      <x v="3"/>
    </i>
    <i t="grand">
      <x/>
    </i>
  </colItems>
  <dataFields count="1">
    <dataField name="Sum of Revenue" fld="9" baseField="0" baseItem="0" numFmtId="170"/>
  </dataFields>
  <formats count="1">
    <format dxfId="31">
      <pivotArea outline="0" collapsedLevelsAreSubtotals="1" fieldPosition="0"/>
    </format>
  </formats>
  <chartFormats count="8">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2"/>
          </reference>
        </references>
      </pivotArea>
    </chartFormat>
    <chartFormat chart="2" format="3" series="1">
      <pivotArea type="data" outline="0" fieldPosition="0">
        <references count="2">
          <reference field="4294967294" count="1" selected="0">
            <x v="0"/>
          </reference>
          <reference field="3" count="1" selected="0">
            <x v="3"/>
          </reference>
        </references>
      </pivotArea>
    </chartFormat>
    <chartFormat chart="7" format="8" series="1">
      <pivotArea type="data" outline="0" fieldPosition="0">
        <references count="2">
          <reference field="4294967294" count="1" selected="0">
            <x v="0"/>
          </reference>
          <reference field="3" count="1" selected="0">
            <x v="0"/>
          </reference>
        </references>
      </pivotArea>
    </chartFormat>
    <chartFormat chart="7" format="9" series="1">
      <pivotArea type="data" outline="0" fieldPosition="0">
        <references count="2">
          <reference field="4294967294" count="1" selected="0">
            <x v="0"/>
          </reference>
          <reference field="3" count="1" selected="0">
            <x v="1"/>
          </reference>
        </references>
      </pivotArea>
    </chartFormat>
    <chartFormat chart="7" format="10" series="1">
      <pivotArea type="data" outline="0" fieldPosition="0">
        <references count="2">
          <reference field="4294967294" count="1" selected="0">
            <x v="0"/>
          </reference>
          <reference field="3" count="1" selected="0">
            <x v="2"/>
          </reference>
        </references>
      </pivotArea>
    </chartFormat>
    <chartFormat chart="7" format="11"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8A1EA9-CC2F-452B-8E91-E358E76254CA}" name="PivotTable2"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16" firstHeaderRow="1" firstDataRow="1" firstDataCol="1"/>
  <pivotFields count="12">
    <pivotField showAll="0"/>
    <pivotField axis="axisRow" numFmtId="164" showAll="0">
      <items count="153">
        <item x="20"/>
        <item x="18"/>
        <item x="148"/>
        <item x="95"/>
        <item x="113"/>
        <item x="91"/>
        <item x="77"/>
        <item x="11"/>
        <item x="40"/>
        <item x="150"/>
        <item x="5"/>
        <item x="33"/>
        <item x="96"/>
        <item x="30"/>
        <item x="141"/>
        <item x="25"/>
        <item x="39"/>
        <item x="97"/>
        <item x="100"/>
        <item x="140"/>
        <item x="115"/>
        <item x="4"/>
        <item x="29"/>
        <item x="0"/>
        <item x="54"/>
        <item x="49"/>
        <item x="98"/>
        <item x="134"/>
        <item x="125"/>
        <item x="13"/>
        <item x="50"/>
        <item x="15"/>
        <item x="75"/>
        <item x="80"/>
        <item x="135"/>
        <item x="85"/>
        <item x="53"/>
        <item x="118"/>
        <item x="31"/>
        <item x="99"/>
        <item x="42"/>
        <item x="1"/>
        <item x="2"/>
        <item x="102"/>
        <item x="7"/>
        <item x="21"/>
        <item x="119"/>
        <item x="87"/>
        <item x="65"/>
        <item x="78"/>
        <item x="120"/>
        <item x="58"/>
        <item x="9"/>
        <item x="71"/>
        <item x="94"/>
        <item x="32"/>
        <item x="89"/>
        <item x="43"/>
        <item x="101"/>
        <item x="6"/>
        <item x="126"/>
        <item x="74"/>
        <item x="116"/>
        <item x="129"/>
        <item x="103"/>
        <item x="61"/>
        <item x="81"/>
        <item x="41"/>
        <item x="12"/>
        <item x="88"/>
        <item x="56"/>
        <item x="76"/>
        <item x="114"/>
        <item x="147"/>
        <item x="83"/>
        <item x="55"/>
        <item x="92"/>
        <item x="51"/>
        <item x="14"/>
        <item x="131"/>
        <item x="117"/>
        <item x="10"/>
        <item x="111"/>
        <item x="72"/>
        <item x="35"/>
        <item x="104"/>
        <item x="90"/>
        <item x="110"/>
        <item x="137"/>
        <item x="3"/>
        <item x="151"/>
        <item x="59"/>
        <item x="133"/>
        <item x="8"/>
        <item x="138"/>
        <item x="68"/>
        <item x="16"/>
        <item x="107"/>
        <item x="63"/>
        <item x="69"/>
        <item x="34"/>
        <item x="93"/>
        <item x="36"/>
        <item x="84"/>
        <item x="130"/>
        <item x="38"/>
        <item x="19"/>
        <item x="27"/>
        <item x="67"/>
        <item x="139"/>
        <item x="22"/>
        <item x="37"/>
        <item x="121"/>
        <item x="109"/>
        <item x="45"/>
        <item x="142"/>
        <item x="128"/>
        <item x="145"/>
        <item x="28"/>
        <item x="66"/>
        <item x="73"/>
        <item x="136"/>
        <item x="112"/>
        <item x="86"/>
        <item x="23"/>
        <item x="132"/>
        <item x="146"/>
        <item x="52"/>
        <item x="143"/>
        <item x="70"/>
        <item x="82"/>
        <item x="108"/>
        <item x="47"/>
        <item x="48"/>
        <item x="122"/>
        <item x="17"/>
        <item x="124"/>
        <item x="24"/>
        <item x="106"/>
        <item x="62"/>
        <item x="44"/>
        <item x="60"/>
        <item x="79"/>
        <item x="64"/>
        <item x="105"/>
        <item x="127"/>
        <item x="57"/>
        <item x="46"/>
        <item x="123"/>
        <item x="144"/>
        <item x="149"/>
        <item x="26"/>
        <item t="default"/>
      </items>
    </pivotField>
    <pivotField showAll="0"/>
    <pivotField showAll="0"/>
    <pivotField showAll="0"/>
    <pivotField showAll="0"/>
    <pivotField showAll="0"/>
    <pivotField numFmtId="165" showAll="0"/>
    <pivotField numFmtId="9" showAll="0"/>
    <pivotField dataField="1" numFmtId="165"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1"/>
  </rowFields>
  <rowItems count="13">
    <i>
      <x v="1"/>
    </i>
    <i>
      <x v="2"/>
    </i>
    <i>
      <x v="3"/>
    </i>
    <i>
      <x v="4"/>
    </i>
    <i>
      <x v="5"/>
    </i>
    <i>
      <x v="6"/>
    </i>
    <i>
      <x v="7"/>
    </i>
    <i>
      <x v="8"/>
    </i>
    <i>
      <x v="9"/>
    </i>
    <i>
      <x v="10"/>
    </i>
    <i>
      <x v="11"/>
    </i>
    <i>
      <x v="12"/>
    </i>
    <i t="grand">
      <x/>
    </i>
  </rowItems>
  <colItems count="1">
    <i/>
  </colItems>
  <dataFields count="1">
    <dataField name="Sum of Revenue" fld="9" baseField="0" baseItem="0" numFmtId="165"/>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F798A3-7FEC-485B-B35F-ED8EEEBD7D8E}" name="PivotTable2"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12" firstHeaderRow="1" firstDataRow="1" firstDataCol="1"/>
  <pivotFields count="12">
    <pivotField showAll="0"/>
    <pivotField numFmtId="164" showAll="0">
      <items count="153">
        <item x="20"/>
        <item x="18"/>
        <item x="148"/>
        <item x="95"/>
        <item x="113"/>
        <item x="91"/>
        <item x="77"/>
        <item x="11"/>
        <item x="40"/>
        <item x="150"/>
        <item x="5"/>
        <item x="33"/>
        <item x="96"/>
        <item x="30"/>
        <item x="141"/>
        <item x="25"/>
        <item x="39"/>
        <item x="97"/>
        <item x="100"/>
        <item x="140"/>
        <item x="115"/>
        <item x="4"/>
        <item x="29"/>
        <item x="0"/>
        <item x="54"/>
        <item x="49"/>
        <item x="98"/>
        <item x="134"/>
        <item x="125"/>
        <item x="13"/>
        <item x="50"/>
        <item x="15"/>
        <item x="75"/>
        <item x="80"/>
        <item x="135"/>
        <item x="85"/>
        <item x="53"/>
        <item x="118"/>
        <item x="31"/>
        <item x="99"/>
        <item x="42"/>
        <item x="1"/>
        <item x="2"/>
        <item x="102"/>
        <item x="7"/>
        <item x="21"/>
        <item x="119"/>
        <item x="87"/>
        <item x="65"/>
        <item x="78"/>
        <item x="120"/>
        <item x="58"/>
        <item x="9"/>
        <item x="71"/>
        <item x="94"/>
        <item x="32"/>
        <item x="89"/>
        <item x="43"/>
        <item x="101"/>
        <item x="6"/>
        <item x="126"/>
        <item x="74"/>
        <item x="116"/>
        <item x="129"/>
        <item x="103"/>
        <item x="61"/>
        <item x="81"/>
        <item x="41"/>
        <item x="12"/>
        <item x="88"/>
        <item x="56"/>
        <item x="76"/>
        <item x="114"/>
        <item x="147"/>
        <item x="83"/>
        <item x="55"/>
        <item x="92"/>
        <item x="51"/>
        <item x="14"/>
        <item x="131"/>
        <item x="117"/>
        <item x="10"/>
        <item x="111"/>
        <item x="72"/>
        <item x="35"/>
        <item x="104"/>
        <item x="90"/>
        <item x="110"/>
        <item x="137"/>
        <item x="3"/>
        <item x="151"/>
        <item x="59"/>
        <item x="133"/>
        <item x="8"/>
        <item x="138"/>
        <item x="68"/>
        <item x="16"/>
        <item x="107"/>
        <item x="63"/>
        <item x="69"/>
        <item x="34"/>
        <item x="93"/>
        <item x="36"/>
        <item x="84"/>
        <item x="130"/>
        <item x="38"/>
        <item x="19"/>
        <item x="27"/>
        <item x="67"/>
        <item x="139"/>
        <item x="22"/>
        <item x="37"/>
        <item x="121"/>
        <item x="109"/>
        <item x="45"/>
        <item x="142"/>
        <item x="128"/>
        <item x="145"/>
        <item x="28"/>
        <item x="66"/>
        <item x="73"/>
        <item x="136"/>
        <item x="112"/>
        <item x="86"/>
        <item x="23"/>
        <item x="132"/>
        <item x="146"/>
        <item x="52"/>
        <item x="143"/>
        <item x="70"/>
        <item x="82"/>
        <item x="108"/>
        <item x="47"/>
        <item x="48"/>
        <item x="122"/>
        <item x="17"/>
        <item x="124"/>
        <item x="24"/>
        <item x="106"/>
        <item x="62"/>
        <item x="44"/>
        <item x="60"/>
        <item x="79"/>
        <item x="64"/>
        <item x="105"/>
        <item x="127"/>
        <item x="57"/>
        <item x="46"/>
        <item x="123"/>
        <item x="144"/>
        <item x="149"/>
        <item x="26"/>
        <item t="default"/>
      </items>
    </pivotField>
    <pivotField showAll="0"/>
    <pivotField showAll="0">
      <items count="5">
        <item x="0"/>
        <item x="1"/>
        <item x="2"/>
        <item x="3"/>
        <item t="default"/>
      </items>
    </pivotField>
    <pivotField showAll="0">
      <items count="21">
        <item x="19"/>
        <item x="5"/>
        <item x="14"/>
        <item x="2"/>
        <item x="11"/>
        <item x="15"/>
        <item x="17"/>
        <item x="9"/>
        <item x="18"/>
        <item x="16"/>
        <item x="10"/>
        <item x="0"/>
        <item x="12"/>
        <item x="7"/>
        <item x="8"/>
        <item x="13"/>
        <item x="4"/>
        <item x="6"/>
        <item x="3"/>
        <item x="1"/>
        <item t="default"/>
      </items>
    </pivotField>
    <pivotField axis="axisRow" showAll="0">
      <items count="9">
        <item x="1"/>
        <item x="4"/>
        <item x="6"/>
        <item x="0"/>
        <item x="7"/>
        <item x="2"/>
        <item x="3"/>
        <item x="5"/>
        <item t="default"/>
      </items>
    </pivotField>
    <pivotField showAll="0"/>
    <pivotField numFmtId="165" showAll="0"/>
    <pivotField numFmtId="9" showAll="0"/>
    <pivotField dataField="1"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9">
    <i>
      <x/>
    </i>
    <i>
      <x v="1"/>
    </i>
    <i>
      <x v="2"/>
    </i>
    <i>
      <x v="3"/>
    </i>
    <i>
      <x v="4"/>
    </i>
    <i>
      <x v="5"/>
    </i>
    <i>
      <x v="6"/>
    </i>
    <i>
      <x v="7"/>
    </i>
    <i t="grand">
      <x/>
    </i>
  </rowItems>
  <colItems count="1">
    <i/>
  </colItems>
  <dataFields count="1">
    <dataField name="Sum of Revenue" fld="9" baseField="0" baseItem="0" numFmtId="165"/>
  </dataFields>
  <chartFormats count="10">
    <chartFormat chart="2" format="0"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5" count="1" selected="0">
            <x v="0"/>
          </reference>
        </references>
      </pivotArea>
    </chartFormat>
    <chartFormat chart="5" format="12">
      <pivotArea type="data" outline="0" fieldPosition="0">
        <references count="2">
          <reference field="4294967294" count="1" selected="0">
            <x v="0"/>
          </reference>
          <reference field="5" count="1" selected="0">
            <x v="1"/>
          </reference>
        </references>
      </pivotArea>
    </chartFormat>
    <chartFormat chart="5" format="13">
      <pivotArea type="data" outline="0" fieldPosition="0">
        <references count="2">
          <reference field="4294967294" count="1" selected="0">
            <x v="0"/>
          </reference>
          <reference field="5" count="1" selected="0">
            <x v="2"/>
          </reference>
        </references>
      </pivotArea>
    </chartFormat>
    <chartFormat chart="5" format="14">
      <pivotArea type="data" outline="0" fieldPosition="0">
        <references count="2">
          <reference field="4294967294" count="1" selected="0">
            <x v="0"/>
          </reference>
          <reference field="5" count="1" selected="0">
            <x v="3"/>
          </reference>
        </references>
      </pivotArea>
    </chartFormat>
    <chartFormat chart="5" format="15">
      <pivotArea type="data" outline="0" fieldPosition="0">
        <references count="2">
          <reference field="4294967294" count="1" selected="0">
            <x v="0"/>
          </reference>
          <reference field="5" count="1" selected="0">
            <x v="4"/>
          </reference>
        </references>
      </pivotArea>
    </chartFormat>
    <chartFormat chart="5" format="16">
      <pivotArea type="data" outline="0" fieldPosition="0">
        <references count="2">
          <reference field="4294967294" count="1" selected="0">
            <x v="0"/>
          </reference>
          <reference field="5" count="1" selected="0">
            <x v="5"/>
          </reference>
        </references>
      </pivotArea>
    </chartFormat>
    <chartFormat chart="5" format="17">
      <pivotArea type="data" outline="0" fieldPosition="0">
        <references count="2">
          <reference field="4294967294" count="1" selected="0">
            <x v="0"/>
          </reference>
          <reference field="5" count="1" selected="0">
            <x v="6"/>
          </reference>
        </references>
      </pivotArea>
    </chartFormat>
    <chartFormat chart="5" format="18">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55D967-C2E5-404F-8006-521049C64425}" name="PivotTable2"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24" firstHeaderRow="1" firstDataRow="1" firstDataCol="1"/>
  <pivotFields count="12">
    <pivotField dataField="1" showAll="0"/>
    <pivotField numFmtId="164" showAll="0">
      <items count="153">
        <item x="20"/>
        <item x="18"/>
        <item x="148"/>
        <item x="95"/>
        <item x="113"/>
        <item x="91"/>
        <item x="77"/>
        <item x="11"/>
        <item x="40"/>
        <item x="150"/>
        <item x="5"/>
        <item x="33"/>
        <item x="96"/>
        <item x="30"/>
        <item x="141"/>
        <item x="25"/>
        <item x="39"/>
        <item x="97"/>
        <item x="100"/>
        <item x="140"/>
        <item x="115"/>
        <item x="4"/>
        <item x="29"/>
        <item x="0"/>
        <item x="54"/>
        <item x="49"/>
        <item x="98"/>
        <item x="134"/>
        <item x="125"/>
        <item x="13"/>
        <item x="50"/>
        <item x="15"/>
        <item x="75"/>
        <item x="80"/>
        <item x="135"/>
        <item x="85"/>
        <item x="53"/>
        <item x="118"/>
        <item x="31"/>
        <item x="99"/>
        <item x="42"/>
        <item x="1"/>
        <item x="2"/>
        <item x="102"/>
        <item x="7"/>
        <item x="21"/>
        <item x="119"/>
        <item x="87"/>
        <item x="65"/>
        <item x="78"/>
        <item x="120"/>
        <item x="58"/>
        <item x="9"/>
        <item x="71"/>
        <item x="94"/>
        <item x="32"/>
        <item x="89"/>
        <item x="43"/>
        <item x="101"/>
        <item x="6"/>
        <item x="126"/>
        <item x="74"/>
        <item x="116"/>
        <item x="129"/>
        <item x="103"/>
        <item x="61"/>
        <item x="81"/>
        <item x="41"/>
        <item x="12"/>
        <item x="88"/>
        <item x="56"/>
        <item x="76"/>
        <item x="114"/>
        <item x="147"/>
        <item x="83"/>
        <item x="55"/>
        <item x="92"/>
        <item x="51"/>
        <item x="14"/>
        <item x="131"/>
        <item x="117"/>
        <item x="10"/>
        <item x="111"/>
        <item x="72"/>
        <item x="35"/>
        <item x="104"/>
        <item x="90"/>
        <item x="110"/>
        <item x="137"/>
        <item x="3"/>
        <item x="151"/>
        <item x="59"/>
        <item x="133"/>
        <item x="8"/>
        <item x="138"/>
        <item x="68"/>
        <item x="16"/>
        <item x="107"/>
        <item x="63"/>
        <item x="69"/>
        <item x="34"/>
        <item x="93"/>
        <item x="36"/>
        <item x="84"/>
        <item x="130"/>
        <item x="38"/>
        <item x="19"/>
        <item x="27"/>
        <item x="67"/>
        <item x="139"/>
        <item x="22"/>
        <item x="37"/>
        <item x="121"/>
        <item x="109"/>
        <item x="45"/>
        <item x="142"/>
        <item x="128"/>
        <item x="145"/>
        <item x="28"/>
        <item x="66"/>
        <item x="73"/>
        <item x="136"/>
        <item x="112"/>
        <item x="86"/>
        <item x="23"/>
        <item x="132"/>
        <item x="146"/>
        <item x="52"/>
        <item x="143"/>
        <item x="70"/>
        <item x="82"/>
        <item x="108"/>
        <item x="47"/>
        <item x="48"/>
        <item x="122"/>
        <item x="17"/>
        <item x="124"/>
        <item x="24"/>
        <item x="106"/>
        <item x="62"/>
        <item x="44"/>
        <item x="60"/>
        <item x="79"/>
        <item x="64"/>
        <item x="105"/>
        <item x="127"/>
        <item x="57"/>
        <item x="46"/>
        <item x="123"/>
        <item x="144"/>
        <item x="149"/>
        <item x="26"/>
        <item t="default"/>
      </items>
    </pivotField>
    <pivotField showAll="0"/>
    <pivotField showAll="0"/>
    <pivotField axis="axisRow" showAll="0">
      <items count="21">
        <item x="19"/>
        <item x="5"/>
        <item x="14"/>
        <item x="2"/>
        <item x="11"/>
        <item x="15"/>
        <item x="17"/>
        <item x="9"/>
        <item x="18"/>
        <item x="16"/>
        <item x="10"/>
        <item x="0"/>
        <item x="12"/>
        <item x="7"/>
        <item x="8"/>
        <item x="13"/>
        <item x="4"/>
        <item x="6"/>
        <item x="3"/>
        <item x="1"/>
        <item t="default"/>
      </items>
    </pivotField>
    <pivotField showAll="0">
      <items count="9">
        <item x="1"/>
        <item x="4"/>
        <item x="6"/>
        <item x="0"/>
        <item x="7"/>
        <item x="2"/>
        <item x="3"/>
        <item x="5"/>
        <item t="default"/>
      </items>
    </pivotField>
    <pivotField showAll="0">
      <items count="21">
        <item x="1"/>
        <item x="7"/>
        <item x="6"/>
        <item x="17"/>
        <item x="10"/>
        <item x="3"/>
        <item x="9"/>
        <item x="0"/>
        <item x="15"/>
        <item x="12"/>
        <item x="4"/>
        <item x="13"/>
        <item x="8"/>
        <item x="18"/>
        <item x="16"/>
        <item x="14"/>
        <item x="19"/>
        <item x="2"/>
        <item x="11"/>
        <item x="5"/>
        <item t="default"/>
      </items>
    </pivotField>
    <pivotField numFmtId="165" showAll="0">
      <items count="19">
        <item x="6"/>
        <item x="9"/>
        <item x="8"/>
        <item x="7"/>
        <item x="4"/>
        <item x="10"/>
        <item x="16"/>
        <item x="1"/>
        <item x="3"/>
        <item x="5"/>
        <item x="14"/>
        <item x="11"/>
        <item x="2"/>
        <item x="17"/>
        <item x="13"/>
        <item x="12"/>
        <item x="15"/>
        <item x="0"/>
        <item t="default"/>
      </items>
    </pivotField>
    <pivotField numFmtId="9" showAll="0"/>
    <pivotField numFmtId="165" showAll="0">
      <items count="168">
        <item x="67"/>
        <item x="7"/>
        <item x="11"/>
        <item x="129"/>
        <item x="26"/>
        <item x="107"/>
        <item x="91"/>
        <item x="155"/>
        <item x="151"/>
        <item x="111"/>
        <item x="54"/>
        <item x="96"/>
        <item x="12"/>
        <item x="19"/>
        <item x="133"/>
        <item x="62"/>
        <item x="115"/>
        <item x="9"/>
        <item x="25"/>
        <item x="106"/>
        <item x="56"/>
        <item x="1"/>
        <item x="89"/>
        <item x="87"/>
        <item x="134"/>
        <item x="137"/>
        <item x="44"/>
        <item x="58"/>
        <item x="98"/>
        <item x="18"/>
        <item x="95"/>
        <item x="21"/>
        <item x="99"/>
        <item x="153"/>
        <item x="17"/>
        <item x="36"/>
        <item x="116"/>
        <item x="93"/>
        <item x="114"/>
        <item x="74"/>
        <item x="60"/>
        <item x="154"/>
        <item x="49"/>
        <item x="159"/>
        <item x="157"/>
        <item x="8"/>
        <item x="138"/>
        <item x="6"/>
        <item x="113"/>
        <item x="13"/>
        <item x="105"/>
        <item x="57"/>
        <item x="160"/>
        <item x="88"/>
        <item x="140"/>
        <item x="132"/>
        <item x="4"/>
        <item x="69"/>
        <item x="142"/>
        <item x="3"/>
        <item x="10"/>
        <item x="90"/>
        <item x="37"/>
        <item x="158"/>
        <item x="104"/>
        <item x="15"/>
        <item x="86"/>
        <item x="161"/>
        <item x="130"/>
        <item x="122"/>
        <item x="16"/>
        <item x="65"/>
        <item x="163"/>
        <item x="35"/>
        <item x="41"/>
        <item x="152"/>
        <item x="81"/>
        <item x="55"/>
        <item x="121"/>
        <item x="119"/>
        <item x="85"/>
        <item x="40"/>
        <item x="131"/>
        <item x="45"/>
        <item x="109"/>
        <item x="39"/>
        <item x="68"/>
        <item x="156"/>
        <item x="120"/>
        <item x="66"/>
        <item x="126"/>
        <item x="61"/>
        <item x="135"/>
        <item x="166"/>
        <item x="145"/>
        <item x="38"/>
        <item x="101"/>
        <item x="77"/>
        <item x="42"/>
        <item x="92"/>
        <item x="73"/>
        <item x="47"/>
        <item x="162"/>
        <item x="80"/>
        <item x="71"/>
        <item x="100"/>
        <item x="148"/>
        <item x="136"/>
        <item x="141"/>
        <item x="23"/>
        <item x="46"/>
        <item x="118"/>
        <item x="5"/>
        <item x="28"/>
        <item x="79"/>
        <item x="108"/>
        <item x="164"/>
        <item x="144"/>
        <item x="143"/>
        <item x="165"/>
        <item x="29"/>
        <item x="53"/>
        <item x="20"/>
        <item x="125"/>
        <item x="52"/>
        <item x="32"/>
        <item x="117"/>
        <item x="76"/>
        <item x="102"/>
        <item x="2"/>
        <item x="24"/>
        <item x="14"/>
        <item x="43"/>
        <item x="128"/>
        <item x="51"/>
        <item x="150"/>
        <item x="84"/>
        <item x="27"/>
        <item x="94"/>
        <item x="64"/>
        <item x="127"/>
        <item x="124"/>
        <item x="75"/>
        <item x="31"/>
        <item x="33"/>
        <item x="103"/>
        <item x="48"/>
        <item x="22"/>
        <item x="83"/>
        <item x="70"/>
        <item x="50"/>
        <item x="30"/>
        <item x="112"/>
        <item x="82"/>
        <item x="110"/>
        <item x="72"/>
        <item x="63"/>
        <item x="0"/>
        <item x="123"/>
        <item x="59"/>
        <item x="147"/>
        <item x="149"/>
        <item x="146"/>
        <item x="139"/>
        <item x="34"/>
        <item x="78"/>
        <item x="97"/>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Ord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B5FB84-D8FB-4B9E-BFC0-388AA635904B}"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2">
    <pivotField showAll="0"/>
    <pivotField numFmtId="164" showAll="0">
      <items count="153">
        <item x="20"/>
        <item x="18"/>
        <item x="148"/>
        <item x="95"/>
        <item x="113"/>
        <item x="91"/>
        <item x="77"/>
        <item x="11"/>
        <item x="40"/>
        <item x="150"/>
        <item x="5"/>
        <item x="33"/>
        <item x="96"/>
        <item x="30"/>
        <item x="141"/>
        <item x="25"/>
        <item x="39"/>
        <item x="97"/>
        <item x="100"/>
        <item x="140"/>
        <item x="115"/>
        <item x="4"/>
        <item x="29"/>
        <item x="0"/>
        <item x="54"/>
        <item x="49"/>
        <item x="98"/>
        <item x="134"/>
        <item x="125"/>
        <item x="13"/>
        <item x="50"/>
        <item x="15"/>
        <item x="75"/>
        <item x="80"/>
        <item x="135"/>
        <item x="85"/>
        <item x="53"/>
        <item x="118"/>
        <item x="31"/>
        <item x="99"/>
        <item x="42"/>
        <item x="1"/>
        <item x="2"/>
        <item x="102"/>
        <item x="7"/>
        <item x="21"/>
        <item x="119"/>
        <item x="87"/>
        <item x="65"/>
        <item x="78"/>
        <item x="120"/>
        <item x="58"/>
        <item x="9"/>
        <item x="71"/>
        <item x="94"/>
        <item x="32"/>
        <item x="89"/>
        <item x="43"/>
        <item x="101"/>
        <item x="6"/>
        <item x="126"/>
        <item x="74"/>
        <item x="116"/>
        <item x="129"/>
        <item x="103"/>
        <item x="61"/>
        <item x="81"/>
        <item x="41"/>
        <item x="12"/>
        <item x="88"/>
        <item x="56"/>
        <item x="76"/>
        <item x="114"/>
        <item x="147"/>
        <item x="83"/>
        <item x="55"/>
        <item x="92"/>
        <item x="51"/>
        <item x="14"/>
        <item x="131"/>
        <item x="117"/>
        <item x="10"/>
        <item x="111"/>
        <item x="72"/>
        <item x="35"/>
        <item x="104"/>
        <item x="90"/>
        <item x="110"/>
        <item x="137"/>
        <item x="3"/>
        <item x="151"/>
        <item x="59"/>
        <item x="133"/>
        <item x="8"/>
        <item x="138"/>
        <item x="68"/>
        <item x="16"/>
        <item x="107"/>
        <item x="63"/>
        <item x="69"/>
        <item x="34"/>
        <item x="93"/>
        <item x="36"/>
        <item x="84"/>
        <item x="130"/>
        <item x="38"/>
        <item x="19"/>
        <item x="27"/>
        <item x="67"/>
        <item x="139"/>
        <item x="22"/>
        <item x="37"/>
        <item x="121"/>
        <item x="109"/>
        <item x="45"/>
        <item x="142"/>
        <item x="128"/>
        <item x="145"/>
        <item x="28"/>
        <item x="66"/>
        <item x="73"/>
        <item x="136"/>
        <item x="112"/>
        <item x="86"/>
        <item x="23"/>
        <item x="132"/>
        <item x="146"/>
        <item x="52"/>
        <item x="143"/>
        <item x="70"/>
        <item x="82"/>
        <item x="108"/>
        <item x="47"/>
        <item x="48"/>
        <item x="122"/>
        <item x="17"/>
        <item x="124"/>
        <item x="24"/>
        <item x="106"/>
        <item x="62"/>
        <item x="44"/>
        <item x="60"/>
        <item x="79"/>
        <item x="64"/>
        <item x="105"/>
        <item x="127"/>
        <item x="57"/>
        <item x="46"/>
        <item x="123"/>
        <item x="144"/>
        <item x="149"/>
        <item x="26"/>
        <item t="default"/>
      </items>
    </pivotField>
    <pivotField showAll="0"/>
    <pivotField showAll="0"/>
    <pivotField showAll="0"/>
    <pivotField showAll="0"/>
    <pivotField showAll="0"/>
    <pivotField numFmtId="165" showAll="0"/>
    <pivotField numFmtId="9" showAll="0"/>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6F6BAFF-0735-4E85-83B2-95DD330C3576}" sourceName="Region">
  <pivotTables>
    <pivotTable tabId="2" name="PivotTable2"/>
  </pivotTables>
  <data>
    <tabular pivotCacheId="1305083807">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CD54095-0329-41B9-994A-A3E5406EAC3B}" sourceName="Product">
  <pivotTables>
    <pivotTable tabId="2" name="PivotTable2"/>
  </pivotTables>
  <data>
    <tabular pivotCacheId="1305083807">
      <items count="20">
        <i x="19" s="1"/>
        <i x="5" s="1"/>
        <i x="2" s="1"/>
        <i x="11" s="1"/>
        <i x="17" s="1"/>
        <i x="16" s="1"/>
        <i x="10" s="1"/>
        <i x="12" s="1"/>
        <i x="1" s="1"/>
        <i x="14" s="1" nd="1"/>
        <i x="15" s="1" nd="1"/>
        <i x="9" s="1" nd="1"/>
        <i x="18" s="1" nd="1"/>
        <i x="0" s="1" nd="1"/>
        <i x="7" s="1" nd="1"/>
        <i x="8" s="1" nd="1"/>
        <i x="13" s="1" nd="1"/>
        <i x="4" s="1" nd="1"/>
        <i x="6"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9220995-5D76-4F82-B26A-70BEB9DDC2E8}" sourceName="Category">
  <pivotTables>
    <pivotTable tabId="2" name="PivotTable2"/>
  </pivotTables>
  <data>
    <tabular pivotCacheId="1305083807">
      <items count="4">
        <i x="0" s="1"/>
        <i x="1" s="1"/>
        <i x="2"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 xr10:uid="{63F867F5-A5C7-4B6D-BFA2-670F3253B6DB}" sourceName="Rep">
  <pivotTables>
    <pivotTable tabId="2" name="PivotTable2"/>
  </pivotTables>
  <data>
    <tabular pivotCacheId="1305083807">
      <items count="8">
        <i x="1" s="1"/>
        <i x="4" s="1"/>
        <i x="6" s="1"/>
        <i x="0" s="1"/>
        <i x="7" s="1"/>
        <i x="2"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07C1A79-624B-444E-A0B2-3C6A7488F446}" cache="Slicer_Region" caption="Region" rowHeight="241300"/>
  <slicer name="Product" xr10:uid="{BADA4BDF-F097-49F7-85BF-E17DE8914582}" cache="Slicer_Product" caption="Product" startItem="12" rowHeight="241300"/>
  <slicer name="Category" xr10:uid="{57B84EEA-881D-4DD0-ADFD-8063B225271B}" cache="Slicer_Category" caption="Category" rowHeight="241300"/>
  <slicer name="Rep" xr10:uid="{6C2DDDFF-31BF-49EC-9E1F-0C39B2202A75}" cache="Slicer_Rep" caption="Rep"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5A59B4-6C85-4885-A9D9-F9A780F441DC}" name="Sales_Data" displayName="Sales_Data" ref="A1:J201" totalsRowShown="0" headerRowDxfId="32" headerRowBorderDxfId="44" tableBorderDxfId="45" totalsRowBorderDxfId="43">
  <autoFilter ref="A1:J201" xr:uid="{8F5A59B4-6C85-4885-A9D9-F9A780F441DC}"/>
  <tableColumns count="10">
    <tableColumn id="1" xr3:uid="{4BFD4815-2584-48B1-AEC9-578115B8D6CA}" name="OrderID" dataDxfId="42"/>
    <tableColumn id="2" xr3:uid="{CF89A503-6E51-42EA-8B05-326E2F9D96C7}" name="Date" dataDxfId="41"/>
    <tableColumn id="3" xr3:uid="{A5FED4D6-B50E-4014-B271-0C4E7316A60D}" name="Region" dataDxfId="40"/>
    <tableColumn id="4" xr3:uid="{054AE153-4A29-4E70-9285-6B4F3914EC66}" name="Category" dataDxfId="39"/>
    <tableColumn id="5" xr3:uid="{75A8CE74-D854-4855-98DF-F1A61FDC1A31}" name="Product" dataDxfId="38"/>
    <tableColumn id="6" xr3:uid="{385F0D82-7C6E-4D7C-A3F0-38EFA37C66A2}" name="Rep" dataDxfId="37"/>
    <tableColumn id="7" xr3:uid="{0BC21054-F5E1-41D9-8EDC-356096A6B7C8}" name="Qty" dataDxfId="36"/>
    <tableColumn id="8" xr3:uid="{88D6A058-9A98-489E-A1A0-2E6850EE352C}" name="UnitPrice" dataDxfId="35"/>
    <tableColumn id="9" xr3:uid="{396A29BD-BF4F-4693-965B-39DA8A8B69C1}" name="Discount" dataDxfId="34"/>
    <tableColumn id="10" xr3:uid="{1757F0BE-4461-4A2D-9212-188B0E26C529}" name="Revenue" dataDxfId="33"/>
  </tableColumns>
  <tableStyleInfo name="TableStyleLight1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6D9D68B-1AB3-4D15-8872-0BF4F20DA2E2}" sourceName="Date">
  <pivotTables>
    <pivotTable tabId="2" name="PivotTable2"/>
    <pivotTable tabId="3" name="PivotTable2"/>
    <pivotTable tabId="4" name="PivotTable2"/>
    <pivotTable tabId="6" name="PivotTable2"/>
  </pivotTables>
  <state minimalRefreshVersion="6" lastRefreshVersion="6" pivotCacheId="1305083807"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5C62A02-0111-4FD1-BAE0-84478A1A5C80}" cache="NativeTimeline_Date" caption="Date" level="2" selectionLevel="2" scrollPosition="2023-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D9979-0C80-4402-987D-5E43CC0F1F96}">
  <dimension ref="A3:F9"/>
  <sheetViews>
    <sheetView topLeftCell="B1" zoomScale="115" zoomScaleNormal="115" workbookViewId="0">
      <selection activeCell="I24" sqref="I24"/>
    </sheetView>
  </sheetViews>
  <sheetFormatPr defaultRowHeight="16.5" x14ac:dyDescent="0.3"/>
  <cols>
    <col min="1" max="1" width="15.625" customWidth="1"/>
    <col min="2" max="2" width="16.25" customWidth="1"/>
    <col min="3" max="3" width="9.25" customWidth="1"/>
    <col min="4" max="4" width="9.375" customWidth="1"/>
    <col min="5" max="5" width="10" customWidth="1"/>
    <col min="6" max="6" width="11.25" customWidth="1"/>
    <col min="7" max="7" width="14.75" customWidth="1"/>
    <col min="8" max="8" width="9.625" customWidth="1"/>
    <col min="9" max="9" width="12.625" customWidth="1"/>
    <col min="10" max="10" width="9.25" customWidth="1"/>
    <col min="11" max="11" width="10.375" customWidth="1"/>
    <col min="12" max="12" width="13.75" customWidth="1"/>
    <col min="13" max="13" width="16.875" customWidth="1"/>
    <col min="14" max="14" width="9.25" customWidth="1"/>
    <col min="15" max="16" width="10" customWidth="1"/>
    <col min="17" max="17" width="12.375" customWidth="1"/>
    <col min="18" max="18" width="13.875" customWidth="1"/>
    <col min="19" max="19" width="17.25" customWidth="1"/>
    <col min="20" max="20" width="11.25" customWidth="1"/>
    <col min="21" max="21" width="14.375" customWidth="1"/>
    <col min="22" max="22" width="9.25" customWidth="1"/>
    <col min="23" max="24" width="10.5" customWidth="1"/>
    <col min="25" max="25" width="11.75" customWidth="1"/>
    <col min="26" max="26" width="10.5" customWidth="1"/>
    <col min="27" max="27" width="13.25" customWidth="1"/>
    <col min="28" max="28" width="11.625" customWidth="1"/>
    <col min="29" max="29" width="14.75" customWidth="1"/>
    <col min="30" max="30" width="13.75" customWidth="1"/>
    <col min="31" max="31" width="16.875" customWidth="1"/>
    <col min="32" max="32" width="13" customWidth="1"/>
    <col min="33" max="33" width="16.25" customWidth="1"/>
    <col min="34" max="34" width="10" customWidth="1"/>
    <col min="35" max="35" width="12" customWidth="1"/>
    <col min="36" max="36" width="13.625" customWidth="1"/>
    <col min="37" max="37" width="16.75" customWidth="1"/>
    <col min="38" max="38" width="13.625" customWidth="1"/>
    <col min="39" max="39" width="16.75" customWidth="1"/>
    <col min="40" max="40" width="10.625" customWidth="1"/>
    <col min="41" max="41" width="13.75" customWidth="1"/>
    <col min="42" max="42" width="11.25" customWidth="1"/>
  </cols>
  <sheetData>
    <row r="3" spans="1:6" x14ac:dyDescent="0.3">
      <c r="A3" s="31" t="s">
        <v>249</v>
      </c>
      <c r="B3" s="31" t="s">
        <v>248</v>
      </c>
    </row>
    <row r="4" spans="1:6" x14ac:dyDescent="0.3">
      <c r="A4" s="31" t="s">
        <v>246</v>
      </c>
      <c r="B4" t="s">
        <v>12</v>
      </c>
      <c r="C4" t="s">
        <v>21</v>
      </c>
      <c r="D4" t="s">
        <v>24</v>
      </c>
      <c r="E4" t="s">
        <v>28</v>
      </c>
      <c r="F4" t="s">
        <v>247</v>
      </c>
    </row>
    <row r="5" spans="1:6" x14ac:dyDescent="0.3">
      <c r="A5" s="32" t="s">
        <v>11</v>
      </c>
      <c r="B5" s="34">
        <v>96420</v>
      </c>
      <c r="C5" s="34">
        <v>22487</v>
      </c>
      <c r="D5" s="34">
        <v>30400</v>
      </c>
      <c r="E5" s="34">
        <v>1353.8500000000001</v>
      </c>
      <c r="F5" s="34">
        <v>150660.85</v>
      </c>
    </row>
    <row r="6" spans="1:6" x14ac:dyDescent="0.3">
      <c r="A6" s="32" t="s">
        <v>20</v>
      </c>
      <c r="B6" s="34">
        <v>22215.25</v>
      </c>
      <c r="C6" s="34">
        <v>18907.5</v>
      </c>
      <c r="D6" s="34">
        <v>55000</v>
      </c>
      <c r="E6" s="34">
        <v>616.9</v>
      </c>
      <c r="F6" s="34">
        <v>96739.65</v>
      </c>
    </row>
    <row r="7" spans="1:6" x14ac:dyDescent="0.3">
      <c r="A7" s="32" t="s">
        <v>27</v>
      </c>
      <c r="B7" s="34">
        <v>62159.5</v>
      </c>
      <c r="C7" s="34">
        <v>7219.5</v>
      </c>
      <c r="D7" s="34">
        <v>55174.5</v>
      </c>
      <c r="E7" s="34">
        <v>1546.8000000000002</v>
      </c>
      <c r="F7" s="34">
        <v>126100.3</v>
      </c>
    </row>
    <row r="8" spans="1:6" x14ac:dyDescent="0.3">
      <c r="A8" s="32" t="s">
        <v>16</v>
      </c>
      <c r="B8" s="34">
        <v>100396</v>
      </c>
      <c r="C8" s="34">
        <v>21578</v>
      </c>
      <c r="D8" s="34">
        <v>35445</v>
      </c>
      <c r="E8" s="34">
        <v>892.8</v>
      </c>
      <c r="F8" s="34">
        <v>158311.79999999999</v>
      </c>
    </row>
    <row r="9" spans="1:6" x14ac:dyDescent="0.3">
      <c r="A9" s="32" t="s">
        <v>247</v>
      </c>
      <c r="B9" s="34">
        <v>281190.75</v>
      </c>
      <c r="C9" s="34">
        <v>70192</v>
      </c>
      <c r="D9" s="34">
        <v>176019.5</v>
      </c>
      <c r="E9" s="34">
        <v>4410.3500000000004</v>
      </c>
      <c r="F9" s="34">
        <v>531812.6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02A59-835A-43CB-866E-AB900DB9AC2F}">
  <dimension ref="A1"/>
  <sheetViews>
    <sheetView tabSelected="1" zoomScale="55" zoomScaleNormal="55" workbookViewId="0">
      <selection activeCell="O51" sqref="O51"/>
    </sheetView>
  </sheetViews>
  <sheetFormatPr defaultRowHeight="16.5"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F57D7-10F8-4E99-B7C4-78B4A00AD3DC}">
  <dimension ref="A3:B16"/>
  <sheetViews>
    <sheetView zoomScale="115" zoomScaleNormal="115" workbookViewId="0">
      <selection activeCell="H23" sqref="H23"/>
    </sheetView>
  </sheetViews>
  <sheetFormatPr defaultRowHeight="16.5" x14ac:dyDescent="0.3"/>
  <cols>
    <col min="1" max="1" width="13" customWidth="1"/>
    <col min="2" max="2" width="15.625" customWidth="1"/>
  </cols>
  <sheetData>
    <row r="3" spans="1:2" x14ac:dyDescent="0.3">
      <c r="A3" s="31" t="s">
        <v>246</v>
      </c>
      <c r="B3" t="s">
        <v>249</v>
      </c>
    </row>
    <row r="4" spans="1:2" x14ac:dyDescent="0.3">
      <c r="A4" s="32" t="s">
        <v>250</v>
      </c>
      <c r="B4" s="33">
        <v>79029</v>
      </c>
    </row>
    <row r="5" spans="1:2" x14ac:dyDescent="0.3">
      <c r="A5" s="32" t="s">
        <v>251</v>
      </c>
      <c r="B5" s="33">
        <v>37618.5</v>
      </c>
    </row>
    <row r="6" spans="1:2" x14ac:dyDescent="0.3">
      <c r="A6" s="32" t="s">
        <v>252</v>
      </c>
      <c r="B6" s="33">
        <v>21769</v>
      </c>
    </row>
    <row r="7" spans="1:2" x14ac:dyDescent="0.3">
      <c r="A7" s="32" t="s">
        <v>253</v>
      </c>
      <c r="B7" s="33">
        <v>42614</v>
      </c>
    </row>
    <row r="8" spans="1:2" x14ac:dyDescent="0.3">
      <c r="A8" s="32" t="s">
        <v>254</v>
      </c>
      <c r="B8" s="33">
        <v>15763.65</v>
      </c>
    </row>
    <row r="9" spans="1:2" x14ac:dyDescent="0.3">
      <c r="A9" s="32" t="s">
        <v>255</v>
      </c>
      <c r="B9" s="33">
        <v>27494.5</v>
      </c>
    </row>
    <row r="10" spans="1:2" x14ac:dyDescent="0.3">
      <c r="A10" s="32" t="s">
        <v>256</v>
      </c>
      <c r="B10" s="33">
        <v>48210</v>
      </c>
    </row>
    <row r="11" spans="1:2" x14ac:dyDescent="0.3">
      <c r="A11" s="32" t="s">
        <v>257</v>
      </c>
      <c r="B11" s="33">
        <v>30759.3</v>
      </c>
    </row>
    <row r="12" spans="1:2" x14ac:dyDescent="0.3">
      <c r="A12" s="32" t="s">
        <v>258</v>
      </c>
      <c r="B12" s="33">
        <v>52186.55</v>
      </c>
    </row>
    <row r="13" spans="1:2" x14ac:dyDescent="0.3">
      <c r="A13" s="32" t="s">
        <v>259</v>
      </c>
      <c r="B13" s="33">
        <v>59013.899999999994</v>
      </c>
    </row>
    <row r="14" spans="1:2" x14ac:dyDescent="0.3">
      <c r="A14" s="32" t="s">
        <v>260</v>
      </c>
      <c r="B14" s="33">
        <v>76587.600000000006</v>
      </c>
    </row>
    <row r="15" spans="1:2" x14ac:dyDescent="0.3">
      <c r="A15" s="32" t="s">
        <v>261</v>
      </c>
      <c r="B15" s="33">
        <v>40766.6</v>
      </c>
    </row>
    <row r="16" spans="1:2" x14ac:dyDescent="0.3">
      <c r="A16" s="32" t="s">
        <v>247</v>
      </c>
      <c r="B16" s="33">
        <v>531812.6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040B5-8C8A-497F-8081-8DD427DB2487}">
  <dimension ref="A3:B12"/>
  <sheetViews>
    <sheetView zoomScale="70" zoomScaleNormal="70" workbookViewId="0">
      <selection activeCell="P18" sqref="P18"/>
    </sheetView>
  </sheetViews>
  <sheetFormatPr defaultRowHeight="16.5" x14ac:dyDescent="0.3"/>
  <cols>
    <col min="1" max="1" width="17.75" customWidth="1"/>
    <col min="2" max="2" width="20.25" customWidth="1"/>
    <col min="3" max="3" width="10.625" customWidth="1"/>
    <col min="4" max="4" width="11.625" customWidth="1"/>
    <col min="5" max="5" width="10" customWidth="1"/>
    <col min="6" max="6" width="11.625" customWidth="1"/>
    <col min="7" max="7" width="11.875" customWidth="1"/>
    <col min="8" max="8" width="5.25" customWidth="1"/>
    <col min="9" max="9" width="7.5" customWidth="1"/>
    <col min="10" max="10" width="12" customWidth="1"/>
    <col min="11" max="11" width="9.375" customWidth="1"/>
    <col min="12" max="12" width="5.625" customWidth="1"/>
    <col min="13" max="13" width="6.875" customWidth="1"/>
    <col min="14" max="14" width="8.25" customWidth="1"/>
    <col min="15" max="15" width="9.75" customWidth="1"/>
    <col min="16" max="16" width="11.875" customWidth="1"/>
    <col min="17" max="17" width="11.25" customWidth="1"/>
    <col min="18" max="18" width="7.25" customWidth="1"/>
    <col min="19" max="20" width="11.75" customWidth="1"/>
    <col min="21" max="21" width="8.75" customWidth="1"/>
    <col min="22" max="22" width="11.25" customWidth="1"/>
  </cols>
  <sheetData>
    <row r="3" spans="1:2" x14ac:dyDescent="0.3">
      <c r="A3" s="31" t="s">
        <v>246</v>
      </c>
      <c r="B3" t="s">
        <v>249</v>
      </c>
    </row>
    <row r="4" spans="1:2" x14ac:dyDescent="0.3">
      <c r="A4" s="32" t="s">
        <v>18</v>
      </c>
      <c r="B4" s="33">
        <v>59379.95</v>
      </c>
    </row>
    <row r="5" spans="1:2" x14ac:dyDescent="0.3">
      <c r="A5" s="32" t="s">
        <v>37</v>
      </c>
      <c r="B5" s="33">
        <v>51256.600000000006</v>
      </c>
    </row>
    <row r="6" spans="1:2" x14ac:dyDescent="0.3">
      <c r="A6" s="32" t="s">
        <v>57</v>
      </c>
      <c r="B6" s="33">
        <v>104597.25</v>
      </c>
    </row>
    <row r="7" spans="1:2" x14ac:dyDescent="0.3">
      <c r="A7" s="32" t="s">
        <v>14</v>
      </c>
      <c r="B7" s="33">
        <v>51505.9</v>
      </c>
    </row>
    <row r="8" spans="1:2" x14ac:dyDescent="0.3">
      <c r="A8" s="32" t="s">
        <v>64</v>
      </c>
      <c r="B8" s="33">
        <v>58027.700000000004</v>
      </c>
    </row>
    <row r="9" spans="1:2" x14ac:dyDescent="0.3">
      <c r="A9" s="32" t="s">
        <v>32</v>
      </c>
      <c r="B9" s="33">
        <v>69297.7</v>
      </c>
    </row>
    <row r="10" spans="1:2" x14ac:dyDescent="0.3">
      <c r="A10" s="32" t="s">
        <v>34</v>
      </c>
      <c r="B10" s="33">
        <v>72017.7</v>
      </c>
    </row>
    <row r="11" spans="1:2" x14ac:dyDescent="0.3">
      <c r="A11" s="32" t="s">
        <v>48</v>
      </c>
      <c r="B11" s="33">
        <v>65729.8</v>
      </c>
    </row>
    <row r="12" spans="1:2" x14ac:dyDescent="0.3">
      <c r="A12" s="32" t="s">
        <v>247</v>
      </c>
      <c r="B12" s="33">
        <v>531812.60000000009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56771-E946-44EE-A77C-7BE2150E2D8A}">
  <dimension ref="A3:B24"/>
  <sheetViews>
    <sheetView topLeftCell="B1" zoomScaleNormal="100" workbookViewId="0">
      <selection activeCell="G26" sqref="G26"/>
    </sheetView>
  </sheetViews>
  <sheetFormatPr defaultRowHeight="16.5" x14ac:dyDescent="0.3"/>
  <cols>
    <col min="1" max="1" width="14.875" customWidth="1"/>
    <col min="2" max="2" width="16" customWidth="1"/>
    <col min="3" max="16" width="11.625" customWidth="1"/>
    <col min="17" max="27" width="12" customWidth="1"/>
    <col min="28" max="36" width="12.5" customWidth="1"/>
    <col min="37" max="46" width="12" customWidth="1"/>
    <col min="47" max="61" width="12.625" customWidth="1"/>
    <col min="62" max="78" width="11.75" customWidth="1"/>
    <col min="79" max="88" width="11.25" customWidth="1"/>
    <col min="89" max="100" width="12.25" customWidth="1"/>
    <col min="101" max="112" width="12" customWidth="1"/>
    <col min="113" max="125" width="11.875" customWidth="1"/>
    <col min="126" max="140" width="12.375" customWidth="1"/>
    <col min="141" max="153" width="12.25" customWidth="1"/>
    <col min="154" max="154" width="11.25" customWidth="1"/>
    <col min="155" max="156" width="9.75" customWidth="1"/>
    <col min="157" max="168" width="10.75" customWidth="1"/>
    <col min="169" max="169" width="11.25" customWidth="1"/>
  </cols>
  <sheetData>
    <row r="3" spans="1:2" x14ac:dyDescent="0.3">
      <c r="A3" s="31" t="s">
        <v>246</v>
      </c>
      <c r="B3" t="s">
        <v>262</v>
      </c>
    </row>
    <row r="4" spans="1:2" x14ac:dyDescent="0.3">
      <c r="A4" s="32" t="s">
        <v>111</v>
      </c>
      <c r="B4" s="35">
        <v>10</v>
      </c>
    </row>
    <row r="5" spans="1:2" x14ac:dyDescent="0.3">
      <c r="A5" s="32" t="s">
        <v>31</v>
      </c>
      <c r="B5" s="35">
        <v>10</v>
      </c>
    </row>
    <row r="6" spans="1:2" x14ac:dyDescent="0.3">
      <c r="A6" s="32" t="s">
        <v>69</v>
      </c>
      <c r="B6" s="35">
        <v>8</v>
      </c>
    </row>
    <row r="7" spans="1:2" x14ac:dyDescent="0.3">
      <c r="A7" s="32" t="s">
        <v>22</v>
      </c>
      <c r="B7" s="35">
        <v>5</v>
      </c>
    </row>
    <row r="8" spans="1:2" x14ac:dyDescent="0.3">
      <c r="A8" s="32" t="s">
        <v>51</v>
      </c>
      <c r="B8" s="35">
        <v>12</v>
      </c>
    </row>
    <row r="9" spans="1:2" x14ac:dyDescent="0.3">
      <c r="A9" s="32" t="s">
        <v>72</v>
      </c>
      <c r="B9" s="35">
        <v>13</v>
      </c>
    </row>
    <row r="10" spans="1:2" x14ac:dyDescent="0.3">
      <c r="A10" s="32" t="s">
        <v>83</v>
      </c>
      <c r="B10" s="35">
        <v>8</v>
      </c>
    </row>
    <row r="11" spans="1:2" x14ac:dyDescent="0.3">
      <c r="A11" s="32" t="s">
        <v>45</v>
      </c>
      <c r="B11" s="35">
        <v>15</v>
      </c>
    </row>
    <row r="12" spans="1:2" x14ac:dyDescent="0.3">
      <c r="A12" s="32" t="s">
        <v>86</v>
      </c>
      <c r="B12" s="35">
        <v>7</v>
      </c>
    </row>
    <row r="13" spans="1:2" x14ac:dyDescent="0.3">
      <c r="A13" s="32" t="s">
        <v>81</v>
      </c>
      <c r="B13" s="35">
        <v>8</v>
      </c>
    </row>
    <row r="14" spans="1:2" x14ac:dyDescent="0.3">
      <c r="A14" s="32" t="s">
        <v>47</v>
      </c>
      <c r="B14" s="35">
        <v>12</v>
      </c>
    </row>
    <row r="15" spans="1:2" x14ac:dyDescent="0.3">
      <c r="A15" s="32" t="s">
        <v>13</v>
      </c>
      <c r="B15" s="35">
        <v>14</v>
      </c>
    </row>
    <row r="16" spans="1:2" x14ac:dyDescent="0.3">
      <c r="A16" s="32" t="s">
        <v>60</v>
      </c>
      <c r="B16" s="35">
        <v>10</v>
      </c>
    </row>
    <row r="17" spans="1:2" x14ac:dyDescent="0.3">
      <c r="A17" s="32" t="s">
        <v>39</v>
      </c>
      <c r="B17" s="35">
        <v>14</v>
      </c>
    </row>
    <row r="18" spans="1:2" x14ac:dyDescent="0.3">
      <c r="A18" s="32" t="s">
        <v>41</v>
      </c>
      <c r="B18" s="35">
        <v>6</v>
      </c>
    </row>
    <row r="19" spans="1:2" x14ac:dyDescent="0.3">
      <c r="A19" s="32" t="s">
        <v>63</v>
      </c>
      <c r="B19" s="35">
        <v>8</v>
      </c>
    </row>
    <row r="20" spans="1:2" x14ac:dyDescent="0.3">
      <c r="A20" s="32" t="s">
        <v>29</v>
      </c>
      <c r="B20" s="35">
        <v>7</v>
      </c>
    </row>
    <row r="21" spans="1:2" x14ac:dyDescent="0.3">
      <c r="A21" s="32" t="s">
        <v>36</v>
      </c>
      <c r="B21" s="35">
        <v>15</v>
      </c>
    </row>
    <row r="22" spans="1:2" x14ac:dyDescent="0.3">
      <c r="A22" s="32" t="s">
        <v>25</v>
      </c>
      <c r="B22" s="35">
        <v>9</v>
      </c>
    </row>
    <row r="23" spans="1:2" x14ac:dyDescent="0.3">
      <c r="A23" s="32" t="s">
        <v>17</v>
      </c>
      <c r="B23" s="35">
        <v>9</v>
      </c>
    </row>
    <row r="24" spans="1:2" x14ac:dyDescent="0.3">
      <c r="A24" s="32" t="s">
        <v>247</v>
      </c>
      <c r="B24" s="35">
        <v>200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18E1-4AC7-43F5-B6B8-B5F4FD2C461E}">
  <dimension ref="A3:C20"/>
  <sheetViews>
    <sheetView zoomScale="145" zoomScaleNormal="145" workbookViewId="0">
      <selection activeCell="A3" sqref="A3"/>
    </sheetView>
  </sheetViews>
  <sheetFormatPr defaultRowHeight="16.5" x14ac:dyDescent="0.3"/>
  <sheetData>
    <row r="3" spans="1:3" x14ac:dyDescent="0.3">
      <c r="A3" s="22"/>
      <c r="B3" s="23"/>
      <c r="C3" s="24"/>
    </row>
    <row r="4" spans="1:3" x14ac:dyDescent="0.3">
      <c r="A4" s="25"/>
      <c r="B4" s="26"/>
      <c r="C4" s="27"/>
    </row>
    <row r="5" spans="1:3" x14ac:dyDescent="0.3">
      <c r="A5" s="25"/>
      <c r="B5" s="26"/>
      <c r="C5" s="27"/>
    </row>
    <row r="6" spans="1:3" x14ac:dyDescent="0.3">
      <c r="A6" s="25"/>
      <c r="B6" s="26"/>
      <c r="C6" s="27"/>
    </row>
    <row r="7" spans="1:3" x14ac:dyDescent="0.3">
      <c r="A7" s="25"/>
      <c r="B7" s="26"/>
      <c r="C7" s="27"/>
    </row>
    <row r="8" spans="1:3" x14ac:dyDescent="0.3">
      <c r="A8" s="25"/>
      <c r="B8" s="26"/>
      <c r="C8" s="27"/>
    </row>
    <row r="9" spans="1:3" x14ac:dyDescent="0.3">
      <c r="A9" s="25"/>
      <c r="B9" s="26"/>
      <c r="C9" s="27"/>
    </row>
    <row r="10" spans="1:3" x14ac:dyDescent="0.3">
      <c r="A10" s="25"/>
      <c r="B10" s="26"/>
      <c r="C10" s="27"/>
    </row>
    <row r="11" spans="1:3" x14ac:dyDescent="0.3">
      <c r="A11" s="25"/>
      <c r="B11" s="26"/>
      <c r="C11" s="27"/>
    </row>
    <row r="12" spans="1:3" x14ac:dyDescent="0.3">
      <c r="A12" s="25"/>
      <c r="B12" s="26"/>
      <c r="C12" s="27"/>
    </row>
    <row r="13" spans="1:3" x14ac:dyDescent="0.3">
      <c r="A13" s="25"/>
      <c r="B13" s="26"/>
      <c r="C13" s="27"/>
    </row>
    <row r="14" spans="1:3" x14ac:dyDescent="0.3">
      <c r="A14" s="25"/>
      <c r="B14" s="26"/>
      <c r="C14" s="27"/>
    </row>
    <row r="15" spans="1:3" x14ac:dyDescent="0.3">
      <c r="A15" s="25"/>
      <c r="B15" s="26"/>
      <c r="C15" s="27"/>
    </row>
    <row r="16" spans="1:3" x14ac:dyDescent="0.3">
      <c r="A16" s="25"/>
      <c r="B16" s="26"/>
      <c r="C16" s="27"/>
    </row>
    <row r="17" spans="1:3" x14ac:dyDescent="0.3">
      <c r="A17" s="25"/>
      <c r="B17" s="26"/>
      <c r="C17" s="27"/>
    </row>
    <row r="18" spans="1:3" x14ac:dyDescent="0.3">
      <c r="A18" s="25"/>
      <c r="B18" s="26"/>
      <c r="C18" s="27"/>
    </row>
    <row r="19" spans="1:3" x14ac:dyDescent="0.3">
      <c r="A19" s="25"/>
      <c r="B19" s="26"/>
      <c r="C19" s="27"/>
    </row>
    <row r="20" spans="1:3" x14ac:dyDescent="0.3">
      <c r="A20" s="28"/>
      <c r="B20" s="29"/>
      <c r="C20" s="3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6AAA0-648E-4F5C-9B46-B3FBB904A238}">
  <dimension ref="A1:J201"/>
  <sheetViews>
    <sheetView topLeftCell="A169" zoomScaleNormal="100" workbookViewId="0">
      <selection activeCell="G2" sqref="G2"/>
    </sheetView>
  </sheetViews>
  <sheetFormatPr defaultRowHeight="15" x14ac:dyDescent="0.3"/>
  <cols>
    <col min="1" max="1" width="13.625" customWidth="1"/>
    <col min="2" max="2" width="11.625" customWidth="1"/>
    <col min="3" max="3" width="12.75" customWidth="1"/>
    <col min="4" max="4" width="14.625" customWidth="1"/>
    <col min="5" max="5" width="14.25" customWidth="1"/>
    <col min="6" max="6" width="9.625" customWidth="1"/>
    <col min="7" max="7" width="8.875" customWidth="1"/>
    <col min="8" max="8" width="14.875" customWidth="1"/>
    <col min="9" max="9" width="14.5" customWidth="1"/>
    <col min="10" max="10" width="14.75" customWidth="1"/>
  </cols>
  <sheetData>
    <row r="1" spans="1:10" ht="16.5" x14ac:dyDescent="0.3">
      <c r="A1" s="1" t="s">
        <v>0</v>
      </c>
      <c r="B1" s="2" t="s">
        <v>1</v>
      </c>
      <c r="C1" s="2" t="s">
        <v>2</v>
      </c>
      <c r="D1" s="2" t="s">
        <v>3</v>
      </c>
      <c r="E1" s="2" t="s">
        <v>4</v>
      </c>
      <c r="F1" s="2" t="s">
        <v>5</v>
      </c>
      <c r="G1" s="2" t="s">
        <v>6</v>
      </c>
      <c r="H1" s="2" t="s">
        <v>7</v>
      </c>
      <c r="I1" s="2" t="s">
        <v>8</v>
      </c>
      <c r="J1" s="3" t="s">
        <v>9</v>
      </c>
    </row>
    <row r="2" spans="1:10" ht="16.5" x14ac:dyDescent="0.3">
      <c r="A2" s="4" t="s">
        <v>10</v>
      </c>
      <c r="B2" s="5">
        <v>44979</v>
      </c>
      <c r="C2" s="6" t="s">
        <v>11</v>
      </c>
      <c r="D2" s="6" t="s">
        <v>12</v>
      </c>
      <c r="E2" s="6" t="s">
        <v>13</v>
      </c>
      <c r="F2" s="6" t="s">
        <v>14</v>
      </c>
      <c r="G2" s="6">
        <v>8</v>
      </c>
      <c r="H2" s="7">
        <v>1500</v>
      </c>
      <c r="I2" s="8">
        <v>0</v>
      </c>
      <c r="J2" s="9">
        <v>12000</v>
      </c>
    </row>
    <row r="3" spans="1:10" ht="16.5" x14ac:dyDescent="0.3">
      <c r="A3" s="10" t="s">
        <v>15</v>
      </c>
      <c r="B3" s="11">
        <v>45038</v>
      </c>
      <c r="C3" s="12" t="s">
        <v>16</v>
      </c>
      <c r="D3" s="12" t="s">
        <v>12</v>
      </c>
      <c r="E3" s="12" t="s">
        <v>17</v>
      </c>
      <c r="F3" s="12" t="s">
        <v>18</v>
      </c>
      <c r="G3" s="12">
        <v>1</v>
      </c>
      <c r="H3" s="13">
        <v>55</v>
      </c>
      <c r="I3" s="14">
        <v>0</v>
      </c>
      <c r="J3" s="15">
        <v>55</v>
      </c>
    </row>
    <row r="4" spans="1:10" ht="16.5" x14ac:dyDescent="0.3">
      <c r="A4" s="4" t="s">
        <v>19</v>
      </c>
      <c r="B4" s="5">
        <v>45039</v>
      </c>
      <c r="C4" s="6" t="s">
        <v>20</v>
      </c>
      <c r="D4" s="6" t="s">
        <v>21</v>
      </c>
      <c r="E4" s="6" t="s">
        <v>22</v>
      </c>
      <c r="F4" s="6" t="s">
        <v>14</v>
      </c>
      <c r="G4" s="6">
        <v>18</v>
      </c>
      <c r="H4" s="7">
        <v>220</v>
      </c>
      <c r="I4" s="8">
        <v>0.05</v>
      </c>
      <c r="J4" s="9">
        <v>3762</v>
      </c>
    </row>
    <row r="5" spans="1:10" ht="16.5" x14ac:dyDescent="0.3">
      <c r="A5" s="10" t="s">
        <v>23</v>
      </c>
      <c r="B5" s="11">
        <v>45143</v>
      </c>
      <c r="C5" s="12" t="s">
        <v>11</v>
      </c>
      <c r="D5" s="12" t="s">
        <v>24</v>
      </c>
      <c r="E5" s="12" t="s">
        <v>25</v>
      </c>
      <c r="F5" s="12" t="s">
        <v>18</v>
      </c>
      <c r="G5" s="12">
        <v>6</v>
      </c>
      <c r="H5" s="13">
        <v>60</v>
      </c>
      <c r="I5" s="14">
        <v>0.15</v>
      </c>
      <c r="J5" s="15">
        <v>306</v>
      </c>
    </row>
    <row r="6" spans="1:10" ht="16.5" x14ac:dyDescent="0.3">
      <c r="A6" s="4" t="s">
        <v>26</v>
      </c>
      <c r="B6" s="5">
        <v>44974</v>
      </c>
      <c r="C6" s="6" t="s">
        <v>27</v>
      </c>
      <c r="D6" s="6" t="s">
        <v>28</v>
      </c>
      <c r="E6" s="6" t="s">
        <v>29</v>
      </c>
      <c r="F6" s="6" t="s">
        <v>14</v>
      </c>
      <c r="G6" s="6">
        <v>11</v>
      </c>
      <c r="H6" s="7">
        <v>25</v>
      </c>
      <c r="I6" s="8">
        <v>0</v>
      </c>
      <c r="J6" s="9">
        <v>275</v>
      </c>
    </row>
    <row r="7" spans="1:10" ht="16.5" x14ac:dyDescent="0.3">
      <c r="A7" s="10" t="s">
        <v>30</v>
      </c>
      <c r="B7" s="11">
        <v>44949</v>
      </c>
      <c r="C7" s="12" t="s">
        <v>11</v>
      </c>
      <c r="D7" s="12" t="s">
        <v>24</v>
      </c>
      <c r="E7" s="12" t="s">
        <v>31</v>
      </c>
      <c r="F7" s="12" t="s">
        <v>32</v>
      </c>
      <c r="G7" s="12">
        <v>20</v>
      </c>
      <c r="H7" s="13">
        <v>80</v>
      </c>
      <c r="I7" s="14">
        <v>0</v>
      </c>
      <c r="J7" s="15">
        <v>1600</v>
      </c>
    </row>
    <row r="8" spans="1:10" ht="16.5" x14ac:dyDescent="0.3">
      <c r="A8" s="4" t="s">
        <v>33</v>
      </c>
      <c r="B8" s="5">
        <v>45077</v>
      </c>
      <c r="C8" s="6" t="s">
        <v>20</v>
      </c>
      <c r="D8" s="6" t="s">
        <v>24</v>
      </c>
      <c r="E8" s="6" t="s">
        <v>25</v>
      </c>
      <c r="F8" s="6" t="s">
        <v>34</v>
      </c>
      <c r="G8" s="6">
        <v>3</v>
      </c>
      <c r="H8" s="7">
        <v>60</v>
      </c>
      <c r="I8" s="8">
        <v>0.1</v>
      </c>
      <c r="J8" s="9">
        <v>162</v>
      </c>
    </row>
    <row r="9" spans="1:10" ht="16.5" x14ac:dyDescent="0.3">
      <c r="A9" s="10" t="s">
        <v>35</v>
      </c>
      <c r="B9" s="11">
        <v>45043</v>
      </c>
      <c r="C9" s="12" t="s">
        <v>27</v>
      </c>
      <c r="D9" s="12" t="s">
        <v>28</v>
      </c>
      <c r="E9" s="12" t="s">
        <v>36</v>
      </c>
      <c r="F9" s="12" t="s">
        <v>37</v>
      </c>
      <c r="G9" s="12">
        <v>2</v>
      </c>
      <c r="H9" s="13">
        <v>5</v>
      </c>
      <c r="I9" s="14">
        <v>0.15</v>
      </c>
      <c r="J9" s="15">
        <v>8.5</v>
      </c>
    </row>
    <row r="10" spans="1:10" ht="16.5" x14ac:dyDescent="0.3">
      <c r="A10" s="4" t="s">
        <v>38</v>
      </c>
      <c r="B10" s="5">
        <v>45159</v>
      </c>
      <c r="C10" s="6" t="s">
        <v>27</v>
      </c>
      <c r="D10" s="6" t="s">
        <v>28</v>
      </c>
      <c r="E10" s="6" t="s">
        <v>39</v>
      </c>
      <c r="F10" s="6" t="s">
        <v>37</v>
      </c>
      <c r="G10" s="6">
        <v>13</v>
      </c>
      <c r="H10" s="7">
        <v>12</v>
      </c>
      <c r="I10" s="8">
        <v>0</v>
      </c>
      <c r="J10" s="9">
        <v>156</v>
      </c>
    </row>
    <row r="11" spans="1:10" ht="16.5" x14ac:dyDescent="0.3">
      <c r="A11" s="10" t="s">
        <v>40</v>
      </c>
      <c r="B11" s="11">
        <v>45063</v>
      </c>
      <c r="C11" s="12" t="s">
        <v>11</v>
      </c>
      <c r="D11" s="12" t="s">
        <v>28</v>
      </c>
      <c r="E11" s="12" t="s">
        <v>41</v>
      </c>
      <c r="F11" s="12" t="s">
        <v>32</v>
      </c>
      <c r="G11" s="12">
        <v>7</v>
      </c>
      <c r="H11" s="13">
        <v>8</v>
      </c>
      <c r="I11" s="14">
        <v>0.15</v>
      </c>
      <c r="J11" s="15">
        <v>47.6</v>
      </c>
    </row>
    <row r="12" spans="1:10" ht="16.5" x14ac:dyDescent="0.3">
      <c r="A12" s="4" t="s">
        <v>42</v>
      </c>
      <c r="B12" s="5">
        <v>45121</v>
      </c>
      <c r="C12" s="6" t="s">
        <v>27</v>
      </c>
      <c r="D12" s="6" t="s">
        <v>12</v>
      </c>
      <c r="E12" s="6" t="s">
        <v>17</v>
      </c>
      <c r="F12" s="6" t="s">
        <v>14</v>
      </c>
      <c r="G12" s="6">
        <v>6</v>
      </c>
      <c r="H12" s="7">
        <v>55</v>
      </c>
      <c r="I12" s="8">
        <v>0.05</v>
      </c>
      <c r="J12" s="9">
        <v>313.5</v>
      </c>
    </row>
    <row r="13" spans="1:10" ht="16.5" x14ac:dyDescent="0.3">
      <c r="A13" s="10" t="s">
        <v>43</v>
      </c>
      <c r="B13" s="11">
        <v>44943</v>
      </c>
      <c r="C13" s="12" t="s">
        <v>27</v>
      </c>
      <c r="D13" s="12" t="s">
        <v>28</v>
      </c>
      <c r="E13" s="12" t="s">
        <v>36</v>
      </c>
      <c r="F13" s="12" t="s">
        <v>32</v>
      </c>
      <c r="G13" s="12">
        <v>2</v>
      </c>
      <c r="H13" s="13">
        <v>5</v>
      </c>
      <c r="I13" s="14">
        <v>0</v>
      </c>
      <c r="J13" s="15">
        <v>10</v>
      </c>
    </row>
    <row r="14" spans="1:10" ht="16.5" x14ac:dyDescent="0.3">
      <c r="A14" s="4" t="s">
        <v>44</v>
      </c>
      <c r="B14" s="5">
        <v>45088</v>
      </c>
      <c r="C14" s="6" t="s">
        <v>11</v>
      </c>
      <c r="D14" s="6" t="s">
        <v>28</v>
      </c>
      <c r="E14" s="6" t="s">
        <v>45</v>
      </c>
      <c r="F14" s="6" t="s">
        <v>37</v>
      </c>
      <c r="G14" s="6">
        <v>7</v>
      </c>
      <c r="H14" s="7">
        <v>6</v>
      </c>
      <c r="I14" s="8">
        <v>0.1</v>
      </c>
      <c r="J14" s="9">
        <v>37.799999999999997</v>
      </c>
    </row>
    <row r="15" spans="1:10" ht="16.5" x14ac:dyDescent="0.3">
      <c r="A15" s="10" t="s">
        <v>46</v>
      </c>
      <c r="B15" s="11">
        <v>44998</v>
      </c>
      <c r="C15" s="12" t="s">
        <v>16</v>
      </c>
      <c r="D15" s="12" t="s">
        <v>21</v>
      </c>
      <c r="E15" s="12" t="s">
        <v>47</v>
      </c>
      <c r="F15" s="12" t="s">
        <v>48</v>
      </c>
      <c r="G15" s="12">
        <v>5</v>
      </c>
      <c r="H15" s="13">
        <v>35</v>
      </c>
      <c r="I15" s="14">
        <v>0</v>
      </c>
      <c r="J15" s="15">
        <v>175</v>
      </c>
    </row>
    <row r="16" spans="1:10" ht="16.5" x14ac:dyDescent="0.3">
      <c r="A16" s="4" t="s">
        <v>49</v>
      </c>
      <c r="B16" s="5">
        <v>45112</v>
      </c>
      <c r="C16" s="6" t="s">
        <v>11</v>
      </c>
      <c r="D16" s="6" t="s">
        <v>21</v>
      </c>
      <c r="E16" s="6" t="s">
        <v>22</v>
      </c>
      <c r="F16" s="6" t="s">
        <v>34</v>
      </c>
      <c r="G16" s="6">
        <v>19</v>
      </c>
      <c r="H16" s="7">
        <v>220</v>
      </c>
      <c r="I16" s="8">
        <v>0.05</v>
      </c>
      <c r="J16" s="9">
        <v>3971</v>
      </c>
    </row>
    <row r="17" spans="1:10" ht="16.5" x14ac:dyDescent="0.3">
      <c r="A17" s="10" t="s">
        <v>50</v>
      </c>
      <c r="B17" s="11">
        <v>45005</v>
      </c>
      <c r="C17" s="12" t="s">
        <v>16</v>
      </c>
      <c r="D17" s="12" t="s">
        <v>21</v>
      </c>
      <c r="E17" s="12" t="s">
        <v>51</v>
      </c>
      <c r="F17" s="12" t="s">
        <v>37</v>
      </c>
      <c r="G17" s="12">
        <v>2</v>
      </c>
      <c r="H17" s="13">
        <v>180</v>
      </c>
      <c r="I17" s="14">
        <v>0</v>
      </c>
      <c r="J17" s="15">
        <v>360</v>
      </c>
    </row>
    <row r="18" spans="1:10" ht="16.5" x14ac:dyDescent="0.3">
      <c r="A18" s="4" t="s">
        <v>52</v>
      </c>
      <c r="B18" s="5">
        <v>45166</v>
      </c>
      <c r="C18" s="6" t="s">
        <v>20</v>
      </c>
      <c r="D18" s="6" t="s">
        <v>21</v>
      </c>
      <c r="E18" s="6" t="s">
        <v>47</v>
      </c>
      <c r="F18" s="6" t="s">
        <v>34</v>
      </c>
      <c r="G18" s="6">
        <v>13</v>
      </c>
      <c r="H18" s="7">
        <v>35</v>
      </c>
      <c r="I18" s="8">
        <v>0.1</v>
      </c>
      <c r="J18" s="9">
        <v>409.5</v>
      </c>
    </row>
    <row r="19" spans="1:10" ht="16.5" x14ac:dyDescent="0.3">
      <c r="A19" s="10" t="s">
        <v>53</v>
      </c>
      <c r="B19" s="11">
        <v>45255</v>
      </c>
      <c r="C19" s="12" t="s">
        <v>20</v>
      </c>
      <c r="D19" s="12" t="s">
        <v>28</v>
      </c>
      <c r="E19" s="12" t="s">
        <v>36</v>
      </c>
      <c r="F19" s="12" t="s">
        <v>37</v>
      </c>
      <c r="G19" s="12">
        <v>18</v>
      </c>
      <c r="H19" s="13">
        <v>5</v>
      </c>
      <c r="I19" s="14">
        <v>0</v>
      </c>
      <c r="J19" s="15">
        <v>90</v>
      </c>
    </row>
    <row r="20" spans="1:10" ht="16.5" x14ac:dyDescent="0.3">
      <c r="A20" s="4" t="s">
        <v>54</v>
      </c>
      <c r="B20" s="5">
        <v>44928</v>
      </c>
      <c r="C20" s="6" t="s">
        <v>11</v>
      </c>
      <c r="D20" s="6" t="s">
        <v>28</v>
      </c>
      <c r="E20" s="6" t="s">
        <v>39</v>
      </c>
      <c r="F20" s="6" t="s">
        <v>34</v>
      </c>
      <c r="G20" s="6">
        <v>6</v>
      </c>
      <c r="H20" s="7">
        <v>12</v>
      </c>
      <c r="I20" s="8">
        <v>0.05</v>
      </c>
      <c r="J20" s="9">
        <v>68.400000000000006</v>
      </c>
    </row>
    <row r="21" spans="1:10" ht="16.5" x14ac:dyDescent="0.3">
      <c r="A21" s="10" t="s">
        <v>55</v>
      </c>
      <c r="B21" s="11">
        <v>45186</v>
      </c>
      <c r="C21" s="12" t="s">
        <v>27</v>
      </c>
      <c r="D21" s="12" t="s">
        <v>28</v>
      </c>
      <c r="E21" s="12" t="s">
        <v>36</v>
      </c>
      <c r="F21" s="12" t="s">
        <v>37</v>
      </c>
      <c r="G21" s="12">
        <v>10</v>
      </c>
      <c r="H21" s="13">
        <v>5</v>
      </c>
      <c r="I21" s="14">
        <v>0.15</v>
      </c>
      <c r="J21" s="15">
        <v>42.5</v>
      </c>
    </row>
    <row r="22" spans="1:10" ht="16.5" x14ac:dyDescent="0.3">
      <c r="A22" s="4" t="s">
        <v>56</v>
      </c>
      <c r="B22" s="5">
        <v>44927</v>
      </c>
      <c r="C22" s="6" t="s">
        <v>11</v>
      </c>
      <c r="D22" s="6" t="s">
        <v>21</v>
      </c>
      <c r="E22" s="6" t="s">
        <v>51</v>
      </c>
      <c r="F22" s="6" t="s">
        <v>57</v>
      </c>
      <c r="G22" s="6">
        <v>18</v>
      </c>
      <c r="H22" s="7">
        <v>180</v>
      </c>
      <c r="I22" s="8">
        <v>0.1</v>
      </c>
      <c r="J22" s="9">
        <v>2916</v>
      </c>
    </row>
    <row r="23" spans="1:10" ht="16.5" x14ac:dyDescent="0.3">
      <c r="A23" s="10" t="s">
        <v>58</v>
      </c>
      <c r="B23" s="11">
        <v>45049</v>
      </c>
      <c r="C23" s="12" t="s">
        <v>20</v>
      </c>
      <c r="D23" s="12" t="s">
        <v>28</v>
      </c>
      <c r="E23" s="12" t="s">
        <v>45</v>
      </c>
      <c r="F23" s="12" t="s">
        <v>37</v>
      </c>
      <c r="G23" s="12">
        <v>12</v>
      </c>
      <c r="H23" s="13">
        <v>6</v>
      </c>
      <c r="I23" s="14">
        <v>0</v>
      </c>
      <c r="J23" s="15">
        <v>72</v>
      </c>
    </row>
    <row r="24" spans="1:10" ht="16.5" x14ac:dyDescent="0.3">
      <c r="A24" s="4" t="s">
        <v>59</v>
      </c>
      <c r="B24" s="5">
        <v>45199</v>
      </c>
      <c r="C24" s="6" t="s">
        <v>20</v>
      </c>
      <c r="D24" s="6" t="s">
        <v>12</v>
      </c>
      <c r="E24" s="6" t="s">
        <v>60</v>
      </c>
      <c r="F24" s="6" t="s">
        <v>37</v>
      </c>
      <c r="G24" s="6">
        <v>16</v>
      </c>
      <c r="H24" s="7">
        <v>450</v>
      </c>
      <c r="I24" s="8">
        <v>0</v>
      </c>
      <c r="J24" s="9">
        <v>7200</v>
      </c>
    </row>
    <row r="25" spans="1:10" ht="16.5" x14ac:dyDescent="0.3">
      <c r="A25" s="10" t="s">
        <v>61</v>
      </c>
      <c r="B25" s="11">
        <v>45237</v>
      </c>
      <c r="C25" s="12" t="s">
        <v>16</v>
      </c>
      <c r="D25" s="12" t="s">
        <v>21</v>
      </c>
      <c r="E25" s="12" t="s">
        <v>51</v>
      </c>
      <c r="F25" s="12" t="s">
        <v>57</v>
      </c>
      <c r="G25" s="12">
        <v>9</v>
      </c>
      <c r="H25" s="13">
        <v>180</v>
      </c>
      <c r="I25" s="14">
        <v>0.1</v>
      </c>
      <c r="J25" s="15">
        <v>1458</v>
      </c>
    </row>
    <row r="26" spans="1:10" ht="16.5" x14ac:dyDescent="0.3">
      <c r="A26" s="4" t="s">
        <v>62</v>
      </c>
      <c r="B26" s="5">
        <v>45259</v>
      </c>
      <c r="C26" s="6" t="s">
        <v>27</v>
      </c>
      <c r="D26" s="6" t="s">
        <v>24</v>
      </c>
      <c r="E26" s="6" t="s">
        <v>63</v>
      </c>
      <c r="F26" s="6" t="s">
        <v>64</v>
      </c>
      <c r="G26" s="6">
        <v>13</v>
      </c>
      <c r="H26" s="7">
        <v>350</v>
      </c>
      <c r="I26" s="8">
        <v>0.15</v>
      </c>
      <c r="J26" s="9">
        <v>3867.5</v>
      </c>
    </row>
    <row r="27" spans="1:10" ht="16.5" x14ac:dyDescent="0.3">
      <c r="A27" s="10" t="s">
        <v>65</v>
      </c>
      <c r="B27" s="11">
        <v>44959</v>
      </c>
      <c r="C27" s="12" t="s">
        <v>16</v>
      </c>
      <c r="D27" s="12" t="s">
        <v>28</v>
      </c>
      <c r="E27" s="12" t="s">
        <v>45</v>
      </c>
      <c r="F27" s="12" t="s">
        <v>37</v>
      </c>
      <c r="G27" s="12">
        <v>8</v>
      </c>
      <c r="H27" s="13">
        <v>6</v>
      </c>
      <c r="I27" s="14">
        <v>0</v>
      </c>
      <c r="J27" s="15">
        <v>48</v>
      </c>
    </row>
    <row r="28" spans="1:10" ht="16.5" x14ac:dyDescent="0.3">
      <c r="A28" s="4" t="s">
        <v>66</v>
      </c>
      <c r="B28" s="5">
        <v>45289</v>
      </c>
      <c r="C28" s="6" t="s">
        <v>27</v>
      </c>
      <c r="D28" s="6" t="s">
        <v>28</v>
      </c>
      <c r="E28" s="6" t="s">
        <v>39</v>
      </c>
      <c r="F28" s="6" t="s">
        <v>14</v>
      </c>
      <c r="G28" s="6">
        <v>1</v>
      </c>
      <c r="H28" s="7">
        <v>12</v>
      </c>
      <c r="I28" s="8">
        <v>0</v>
      </c>
      <c r="J28" s="9">
        <v>12</v>
      </c>
    </row>
    <row r="29" spans="1:10" ht="16.5" x14ac:dyDescent="0.3">
      <c r="A29" s="10" t="s">
        <v>67</v>
      </c>
      <c r="B29" s="11">
        <v>45190</v>
      </c>
      <c r="C29" s="12" t="s">
        <v>20</v>
      </c>
      <c r="D29" s="12" t="s">
        <v>12</v>
      </c>
      <c r="E29" s="12" t="s">
        <v>60</v>
      </c>
      <c r="F29" s="12" t="s">
        <v>18</v>
      </c>
      <c r="G29" s="12">
        <v>11</v>
      </c>
      <c r="H29" s="13">
        <v>450</v>
      </c>
      <c r="I29" s="14">
        <v>0</v>
      </c>
      <c r="J29" s="15">
        <v>4950</v>
      </c>
    </row>
    <row r="30" spans="1:10" ht="16.5" x14ac:dyDescent="0.3">
      <c r="A30" s="4" t="s">
        <v>68</v>
      </c>
      <c r="B30" s="5">
        <v>45219</v>
      </c>
      <c r="C30" s="6" t="s">
        <v>16</v>
      </c>
      <c r="D30" s="6" t="s">
        <v>21</v>
      </c>
      <c r="E30" s="6" t="s">
        <v>69</v>
      </c>
      <c r="F30" s="6" t="s">
        <v>14</v>
      </c>
      <c r="G30" s="6">
        <v>18</v>
      </c>
      <c r="H30" s="7">
        <v>95</v>
      </c>
      <c r="I30" s="8">
        <v>0</v>
      </c>
      <c r="J30" s="9">
        <v>1710</v>
      </c>
    </row>
    <row r="31" spans="1:10" ht="16.5" x14ac:dyDescent="0.3">
      <c r="A31" s="10" t="s">
        <v>70</v>
      </c>
      <c r="B31" s="11">
        <v>44976</v>
      </c>
      <c r="C31" s="12" t="s">
        <v>16</v>
      </c>
      <c r="D31" s="12" t="s">
        <v>24</v>
      </c>
      <c r="E31" s="12" t="s">
        <v>63</v>
      </c>
      <c r="F31" s="12" t="s">
        <v>34</v>
      </c>
      <c r="G31" s="12">
        <v>7</v>
      </c>
      <c r="H31" s="13">
        <v>350</v>
      </c>
      <c r="I31" s="14">
        <v>0</v>
      </c>
      <c r="J31" s="15">
        <v>2450</v>
      </c>
    </row>
    <row r="32" spans="1:10" ht="16.5" x14ac:dyDescent="0.3">
      <c r="A32" s="4" t="s">
        <v>71</v>
      </c>
      <c r="B32" s="5">
        <v>44954</v>
      </c>
      <c r="C32" s="6" t="s">
        <v>16</v>
      </c>
      <c r="D32" s="6" t="s">
        <v>24</v>
      </c>
      <c r="E32" s="6" t="s">
        <v>72</v>
      </c>
      <c r="F32" s="6" t="s">
        <v>34</v>
      </c>
      <c r="G32" s="6">
        <v>15</v>
      </c>
      <c r="H32" s="7">
        <v>620</v>
      </c>
      <c r="I32" s="8">
        <v>0.15</v>
      </c>
      <c r="J32" s="9">
        <v>7905</v>
      </c>
    </row>
    <row r="33" spans="1:10" ht="16.5" x14ac:dyDescent="0.3">
      <c r="A33" s="10" t="s">
        <v>73</v>
      </c>
      <c r="B33" s="11">
        <v>45025</v>
      </c>
      <c r="C33" s="12" t="s">
        <v>16</v>
      </c>
      <c r="D33" s="12" t="s">
        <v>12</v>
      </c>
      <c r="E33" s="12" t="s">
        <v>13</v>
      </c>
      <c r="F33" s="12" t="s">
        <v>32</v>
      </c>
      <c r="G33" s="12">
        <v>4</v>
      </c>
      <c r="H33" s="13">
        <v>1500</v>
      </c>
      <c r="I33" s="14">
        <v>0</v>
      </c>
      <c r="J33" s="15">
        <v>6000</v>
      </c>
    </row>
    <row r="34" spans="1:10" ht="16.5" x14ac:dyDescent="0.3">
      <c r="A34" s="4" t="s">
        <v>74</v>
      </c>
      <c r="B34" s="5">
        <v>45069</v>
      </c>
      <c r="C34" s="6" t="s">
        <v>16</v>
      </c>
      <c r="D34" s="6" t="s">
        <v>21</v>
      </c>
      <c r="E34" s="6" t="s">
        <v>22</v>
      </c>
      <c r="F34" s="6" t="s">
        <v>57</v>
      </c>
      <c r="G34" s="6">
        <v>14</v>
      </c>
      <c r="H34" s="7">
        <v>220</v>
      </c>
      <c r="I34" s="8">
        <v>0</v>
      </c>
      <c r="J34" s="9">
        <v>3080</v>
      </c>
    </row>
    <row r="35" spans="1:10" ht="16.5" x14ac:dyDescent="0.3">
      <c r="A35" s="10" t="s">
        <v>75</v>
      </c>
      <c r="B35" s="11">
        <v>44952</v>
      </c>
      <c r="C35" s="12" t="s">
        <v>20</v>
      </c>
      <c r="D35" s="12" t="s">
        <v>24</v>
      </c>
      <c r="E35" s="12" t="s">
        <v>63</v>
      </c>
      <c r="F35" s="12" t="s">
        <v>48</v>
      </c>
      <c r="G35" s="12">
        <v>18</v>
      </c>
      <c r="H35" s="13">
        <v>350</v>
      </c>
      <c r="I35" s="14">
        <v>0</v>
      </c>
      <c r="J35" s="15">
        <v>6300</v>
      </c>
    </row>
    <row r="36" spans="1:10" ht="16.5" x14ac:dyDescent="0.3">
      <c r="A36" s="4" t="s">
        <v>76</v>
      </c>
      <c r="B36" s="5">
        <v>45173</v>
      </c>
      <c r="C36" s="6" t="s">
        <v>27</v>
      </c>
      <c r="D36" s="6" t="s">
        <v>12</v>
      </c>
      <c r="E36" s="6" t="s">
        <v>13</v>
      </c>
      <c r="F36" s="6" t="s">
        <v>57</v>
      </c>
      <c r="G36" s="6">
        <v>14</v>
      </c>
      <c r="H36" s="7">
        <v>1500</v>
      </c>
      <c r="I36" s="8">
        <v>0.05</v>
      </c>
      <c r="J36" s="9">
        <v>19950</v>
      </c>
    </row>
    <row r="37" spans="1:10" ht="16.5" x14ac:dyDescent="0.3">
      <c r="A37" s="10" t="s">
        <v>77</v>
      </c>
      <c r="B37" s="11">
        <v>45126</v>
      </c>
      <c r="C37" s="12" t="s">
        <v>20</v>
      </c>
      <c r="D37" s="12" t="s">
        <v>21</v>
      </c>
      <c r="E37" s="12" t="s">
        <v>47</v>
      </c>
      <c r="F37" s="12" t="s">
        <v>57</v>
      </c>
      <c r="G37" s="12">
        <v>13</v>
      </c>
      <c r="H37" s="13">
        <v>35</v>
      </c>
      <c r="I37" s="14">
        <v>0</v>
      </c>
      <c r="J37" s="15">
        <v>455</v>
      </c>
    </row>
    <row r="38" spans="1:10" ht="16.5" x14ac:dyDescent="0.3">
      <c r="A38" s="4" t="s">
        <v>78</v>
      </c>
      <c r="B38" s="5">
        <v>45176</v>
      </c>
      <c r="C38" s="6" t="s">
        <v>11</v>
      </c>
      <c r="D38" s="6" t="s">
        <v>28</v>
      </c>
      <c r="E38" s="6" t="s">
        <v>45</v>
      </c>
      <c r="F38" s="6" t="s">
        <v>34</v>
      </c>
      <c r="G38" s="6">
        <v>18</v>
      </c>
      <c r="H38" s="7">
        <v>6</v>
      </c>
      <c r="I38" s="8">
        <v>0.15</v>
      </c>
      <c r="J38" s="9">
        <v>91.8</v>
      </c>
    </row>
    <row r="39" spans="1:10" ht="16.5" x14ac:dyDescent="0.3">
      <c r="A39" s="10" t="s">
        <v>79</v>
      </c>
      <c r="B39" s="11">
        <v>45204</v>
      </c>
      <c r="C39" s="12" t="s">
        <v>11</v>
      </c>
      <c r="D39" s="12" t="s">
        <v>21</v>
      </c>
      <c r="E39" s="12" t="s">
        <v>51</v>
      </c>
      <c r="F39" s="12" t="s">
        <v>14</v>
      </c>
      <c r="G39" s="12">
        <v>2</v>
      </c>
      <c r="H39" s="13">
        <v>180</v>
      </c>
      <c r="I39" s="14">
        <v>0.1</v>
      </c>
      <c r="J39" s="15">
        <v>324</v>
      </c>
    </row>
    <row r="40" spans="1:10" ht="16.5" x14ac:dyDescent="0.3">
      <c r="A40" s="4" t="s">
        <v>80</v>
      </c>
      <c r="B40" s="5">
        <v>45184</v>
      </c>
      <c r="C40" s="6" t="s">
        <v>20</v>
      </c>
      <c r="D40" s="6" t="s">
        <v>12</v>
      </c>
      <c r="E40" s="6" t="s">
        <v>81</v>
      </c>
      <c r="F40" s="6" t="s">
        <v>18</v>
      </c>
      <c r="G40" s="6">
        <v>19</v>
      </c>
      <c r="H40" s="7">
        <v>45</v>
      </c>
      <c r="I40" s="8">
        <v>0.05</v>
      </c>
      <c r="J40" s="9">
        <v>812.25</v>
      </c>
    </row>
    <row r="41" spans="1:10" ht="16.5" x14ac:dyDescent="0.3">
      <c r="A41" s="10" t="s">
        <v>82</v>
      </c>
      <c r="B41" s="11">
        <v>44961</v>
      </c>
      <c r="C41" s="12" t="s">
        <v>20</v>
      </c>
      <c r="D41" s="12" t="s">
        <v>21</v>
      </c>
      <c r="E41" s="12" t="s">
        <v>83</v>
      </c>
      <c r="F41" s="12" t="s">
        <v>57</v>
      </c>
      <c r="G41" s="12">
        <v>3</v>
      </c>
      <c r="H41" s="13">
        <v>250</v>
      </c>
      <c r="I41" s="14">
        <v>0.1</v>
      </c>
      <c r="J41" s="15">
        <v>675</v>
      </c>
    </row>
    <row r="42" spans="1:10" ht="16.5" x14ac:dyDescent="0.3">
      <c r="A42" s="4" t="s">
        <v>84</v>
      </c>
      <c r="B42" s="5">
        <v>44947</v>
      </c>
      <c r="C42" s="6" t="s">
        <v>20</v>
      </c>
      <c r="D42" s="6" t="s">
        <v>21</v>
      </c>
      <c r="E42" s="6" t="s">
        <v>47</v>
      </c>
      <c r="F42" s="6" t="s">
        <v>14</v>
      </c>
      <c r="G42" s="6">
        <v>19</v>
      </c>
      <c r="H42" s="7">
        <v>35</v>
      </c>
      <c r="I42" s="8">
        <v>0.1</v>
      </c>
      <c r="J42" s="9">
        <v>598.5</v>
      </c>
    </row>
    <row r="43" spans="1:10" ht="16.5" x14ac:dyDescent="0.3">
      <c r="A43" s="10" t="s">
        <v>85</v>
      </c>
      <c r="B43" s="11">
        <v>45087</v>
      </c>
      <c r="C43" s="12" t="s">
        <v>11</v>
      </c>
      <c r="D43" s="12" t="s">
        <v>12</v>
      </c>
      <c r="E43" s="12" t="s">
        <v>86</v>
      </c>
      <c r="F43" s="12" t="s">
        <v>64</v>
      </c>
      <c r="G43" s="12">
        <v>7</v>
      </c>
      <c r="H43" s="13">
        <v>80</v>
      </c>
      <c r="I43" s="14">
        <v>0.15</v>
      </c>
      <c r="J43" s="15">
        <v>476</v>
      </c>
    </row>
    <row r="44" spans="1:10" ht="16.5" x14ac:dyDescent="0.3">
      <c r="A44" s="4" t="s">
        <v>87</v>
      </c>
      <c r="B44" s="5">
        <v>45088</v>
      </c>
      <c r="C44" s="6" t="s">
        <v>16</v>
      </c>
      <c r="D44" s="6" t="s">
        <v>21</v>
      </c>
      <c r="E44" s="6" t="s">
        <v>69</v>
      </c>
      <c r="F44" s="6" t="s">
        <v>57</v>
      </c>
      <c r="G44" s="6">
        <v>10</v>
      </c>
      <c r="H44" s="7">
        <v>95</v>
      </c>
      <c r="I44" s="8">
        <v>0.05</v>
      </c>
      <c r="J44" s="9">
        <v>902.5</v>
      </c>
    </row>
    <row r="45" spans="1:10" ht="16.5" x14ac:dyDescent="0.3">
      <c r="A45" s="10" t="s">
        <v>88</v>
      </c>
      <c r="B45" s="11">
        <v>45036</v>
      </c>
      <c r="C45" s="12" t="s">
        <v>16</v>
      </c>
      <c r="D45" s="12" t="s">
        <v>12</v>
      </c>
      <c r="E45" s="12" t="s">
        <v>13</v>
      </c>
      <c r="F45" s="12" t="s">
        <v>37</v>
      </c>
      <c r="G45" s="12">
        <v>3</v>
      </c>
      <c r="H45" s="13">
        <v>1500</v>
      </c>
      <c r="I45" s="14">
        <v>0.1</v>
      </c>
      <c r="J45" s="15">
        <v>4050</v>
      </c>
    </row>
    <row r="46" spans="1:10" ht="16.5" x14ac:dyDescent="0.3">
      <c r="A46" s="4" t="s">
        <v>89</v>
      </c>
      <c r="B46" s="5">
        <v>45072</v>
      </c>
      <c r="C46" s="6" t="s">
        <v>11</v>
      </c>
      <c r="D46" s="6" t="s">
        <v>28</v>
      </c>
      <c r="E46" s="6" t="s">
        <v>41</v>
      </c>
      <c r="F46" s="6" t="s">
        <v>37</v>
      </c>
      <c r="G46" s="6">
        <v>8</v>
      </c>
      <c r="H46" s="7">
        <v>8</v>
      </c>
      <c r="I46" s="8">
        <v>0</v>
      </c>
      <c r="J46" s="9">
        <v>64</v>
      </c>
    </row>
    <row r="47" spans="1:10" ht="16.5" x14ac:dyDescent="0.3">
      <c r="A47" s="10" t="s">
        <v>90</v>
      </c>
      <c r="B47" s="11">
        <v>45266</v>
      </c>
      <c r="C47" s="12" t="s">
        <v>11</v>
      </c>
      <c r="D47" s="12" t="s">
        <v>21</v>
      </c>
      <c r="E47" s="12" t="s">
        <v>47</v>
      </c>
      <c r="F47" s="12" t="s">
        <v>18</v>
      </c>
      <c r="G47" s="12">
        <v>18</v>
      </c>
      <c r="H47" s="13">
        <v>35</v>
      </c>
      <c r="I47" s="14">
        <v>0</v>
      </c>
      <c r="J47" s="15">
        <v>630</v>
      </c>
    </row>
    <row r="48" spans="1:10" ht="16.5" x14ac:dyDescent="0.3">
      <c r="A48" s="4" t="s">
        <v>91</v>
      </c>
      <c r="B48" s="5">
        <v>45210</v>
      </c>
      <c r="C48" s="6" t="s">
        <v>11</v>
      </c>
      <c r="D48" s="6" t="s">
        <v>12</v>
      </c>
      <c r="E48" s="6" t="s">
        <v>60</v>
      </c>
      <c r="F48" s="6" t="s">
        <v>37</v>
      </c>
      <c r="G48" s="6">
        <v>4</v>
      </c>
      <c r="H48" s="7">
        <v>450</v>
      </c>
      <c r="I48" s="8">
        <v>0.15</v>
      </c>
      <c r="J48" s="9">
        <v>1530</v>
      </c>
    </row>
    <row r="49" spans="1:10" ht="16.5" x14ac:dyDescent="0.3">
      <c r="A49" s="10" t="s">
        <v>92</v>
      </c>
      <c r="B49" s="11">
        <v>45278</v>
      </c>
      <c r="C49" s="12" t="s">
        <v>11</v>
      </c>
      <c r="D49" s="12" t="s">
        <v>21</v>
      </c>
      <c r="E49" s="12" t="s">
        <v>69</v>
      </c>
      <c r="F49" s="12" t="s">
        <v>14</v>
      </c>
      <c r="G49" s="12">
        <v>11</v>
      </c>
      <c r="H49" s="13">
        <v>95</v>
      </c>
      <c r="I49" s="14">
        <v>0</v>
      </c>
      <c r="J49" s="15">
        <v>1045</v>
      </c>
    </row>
    <row r="50" spans="1:10" ht="16.5" x14ac:dyDescent="0.3">
      <c r="A50" s="4" t="s">
        <v>93</v>
      </c>
      <c r="B50" s="5">
        <v>45251</v>
      </c>
      <c r="C50" s="6" t="s">
        <v>16</v>
      </c>
      <c r="D50" s="6" t="s">
        <v>28</v>
      </c>
      <c r="E50" s="6" t="s">
        <v>36</v>
      </c>
      <c r="F50" s="6" t="s">
        <v>64</v>
      </c>
      <c r="G50" s="6">
        <v>2</v>
      </c>
      <c r="H50" s="7">
        <v>5</v>
      </c>
      <c r="I50" s="8">
        <v>0</v>
      </c>
      <c r="J50" s="9">
        <v>10</v>
      </c>
    </row>
    <row r="51" spans="1:10" ht="16.5" x14ac:dyDescent="0.3">
      <c r="A51" s="10" t="s">
        <v>94</v>
      </c>
      <c r="B51" s="11">
        <v>45253</v>
      </c>
      <c r="C51" s="12" t="s">
        <v>20</v>
      </c>
      <c r="D51" s="12" t="s">
        <v>24</v>
      </c>
      <c r="E51" s="12" t="s">
        <v>72</v>
      </c>
      <c r="F51" s="12" t="s">
        <v>18</v>
      </c>
      <c r="G51" s="12">
        <v>11</v>
      </c>
      <c r="H51" s="13">
        <v>620</v>
      </c>
      <c r="I51" s="14">
        <v>0</v>
      </c>
      <c r="J51" s="15">
        <v>6820</v>
      </c>
    </row>
    <row r="52" spans="1:10" ht="16.5" x14ac:dyDescent="0.3">
      <c r="A52" s="4" t="s">
        <v>95</v>
      </c>
      <c r="B52" s="5">
        <v>44984</v>
      </c>
      <c r="C52" s="6" t="s">
        <v>16</v>
      </c>
      <c r="D52" s="6" t="s">
        <v>28</v>
      </c>
      <c r="E52" s="6" t="s">
        <v>41</v>
      </c>
      <c r="F52" s="6" t="s">
        <v>34</v>
      </c>
      <c r="G52" s="6">
        <v>18</v>
      </c>
      <c r="H52" s="7">
        <v>8</v>
      </c>
      <c r="I52" s="8">
        <v>0</v>
      </c>
      <c r="J52" s="9">
        <v>144</v>
      </c>
    </row>
    <row r="53" spans="1:10" ht="16.5" x14ac:dyDescent="0.3">
      <c r="A53" s="10" t="s">
        <v>96</v>
      </c>
      <c r="B53" s="11">
        <v>45002</v>
      </c>
      <c r="C53" s="12" t="s">
        <v>20</v>
      </c>
      <c r="D53" s="12" t="s">
        <v>12</v>
      </c>
      <c r="E53" s="12" t="s">
        <v>60</v>
      </c>
      <c r="F53" s="12" t="s">
        <v>32</v>
      </c>
      <c r="G53" s="12">
        <v>19</v>
      </c>
      <c r="H53" s="13">
        <v>450</v>
      </c>
      <c r="I53" s="14">
        <v>0.1</v>
      </c>
      <c r="J53" s="15">
        <v>7695</v>
      </c>
    </row>
    <row r="54" spans="1:10" ht="16.5" x14ac:dyDescent="0.3">
      <c r="A54" s="4" t="s">
        <v>97</v>
      </c>
      <c r="B54" s="5">
        <v>45110</v>
      </c>
      <c r="C54" s="6" t="s">
        <v>20</v>
      </c>
      <c r="D54" s="6" t="s">
        <v>24</v>
      </c>
      <c r="E54" s="6" t="s">
        <v>63</v>
      </c>
      <c r="F54" s="6" t="s">
        <v>64</v>
      </c>
      <c r="G54" s="6">
        <v>12</v>
      </c>
      <c r="H54" s="7">
        <v>350</v>
      </c>
      <c r="I54" s="8">
        <v>0</v>
      </c>
      <c r="J54" s="9">
        <v>4200</v>
      </c>
    </row>
    <row r="55" spans="1:10" ht="16.5" x14ac:dyDescent="0.3">
      <c r="A55" s="10" t="s">
        <v>98</v>
      </c>
      <c r="B55" s="11">
        <v>45244</v>
      </c>
      <c r="C55" s="12" t="s">
        <v>20</v>
      </c>
      <c r="D55" s="12" t="s">
        <v>21</v>
      </c>
      <c r="E55" s="12" t="s">
        <v>51</v>
      </c>
      <c r="F55" s="12" t="s">
        <v>32</v>
      </c>
      <c r="G55" s="12">
        <v>18</v>
      </c>
      <c r="H55" s="13">
        <v>180</v>
      </c>
      <c r="I55" s="14">
        <v>0.05</v>
      </c>
      <c r="J55" s="15">
        <v>3078</v>
      </c>
    </row>
    <row r="56" spans="1:10" ht="16.5" x14ac:dyDescent="0.3">
      <c r="A56" s="4" t="s">
        <v>99</v>
      </c>
      <c r="B56" s="5">
        <v>45018</v>
      </c>
      <c r="C56" s="6" t="s">
        <v>27</v>
      </c>
      <c r="D56" s="6" t="s">
        <v>21</v>
      </c>
      <c r="E56" s="6" t="s">
        <v>51</v>
      </c>
      <c r="F56" s="6" t="s">
        <v>57</v>
      </c>
      <c r="G56" s="6">
        <v>14</v>
      </c>
      <c r="H56" s="7">
        <v>180</v>
      </c>
      <c r="I56" s="8">
        <v>0</v>
      </c>
      <c r="J56" s="9">
        <v>2520</v>
      </c>
    </row>
    <row r="57" spans="1:10" ht="16.5" x14ac:dyDescent="0.3">
      <c r="A57" s="10" t="s">
        <v>100</v>
      </c>
      <c r="B57" s="11">
        <v>44982</v>
      </c>
      <c r="C57" s="12" t="s">
        <v>27</v>
      </c>
      <c r="D57" s="12" t="s">
        <v>28</v>
      </c>
      <c r="E57" s="12" t="s">
        <v>45</v>
      </c>
      <c r="F57" s="12" t="s">
        <v>64</v>
      </c>
      <c r="G57" s="12">
        <v>6</v>
      </c>
      <c r="H57" s="13">
        <v>6</v>
      </c>
      <c r="I57" s="14">
        <v>0.15</v>
      </c>
      <c r="J57" s="15">
        <v>30.6</v>
      </c>
    </row>
    <row r="58" spans="1:10" ht="16.5" x14ac:dyDescent="0.3">
      <c r="A58" s="4" t="s">
        <v>101</v>
      </c>
      <c r="B58" s="5">
        <v>45106</v>
      </c>
      <c r="C58" s="6" t="s">
        <v>16</v>
      </c>
      <c r="D58" s="6" t="s">
        <v>24</v>
      </c>
      <c r="E58" s="6" t="s">
        <v>31</v>
      </c>
      <c r="F58" s="6" t="s">
        <v>14</v>
      </c>
      <c r="G58" s="6">
        <v>7</v>
      </c>
      <c r="H58" s="7">
        <v>80</v>
      </c>
      <c r="I58" s="8">
        <v>0.05</v>
      </c>
      <c r="J58" s="9">
        <v>532</v>
      </c>
    </row>
    <row r="59" spans="1:10" ht="16.5" x14ac:dyDescent="0.3">
      <c r="A59" s="10" t="s">
        <v>102</v>
      </c>
      <c r="B59" s="11">
        <v>45095</v>
      </c>
      <c r="C59" s="12" t="s">
        <v>27</v>
      </c>
      <c r="D59" s="12" t="s">
        <v>28</v>
      </c>
      <c r="E59" s="12" t="s">
        <v>41</v>
      </c>
      <c r="F59" s="12" t="s">
        <v>18</v>
      </c>
      <c r="G59" s="12">
        <v>7</v>
      </c>
      <c r="H59" s="13">
        <v>8</v>
      </c>
      <c r="I59" s="14">
        <v>0.05</v>
      </c>
      <c r="J59" s="15">
        <v>53.2</v>
      </c>
    </row>
    <row r="60" spans="1:10" ht="16.5" x14ac:dyDescent="0.3">
      <c r="A60" s="4" t="s">
        <v>103</v>
      </c>
      <c r="B60" s="5">
        <v>45274</v>
      </c>
      <c r="C60" s="6" t="s">
        <v>11</v>
      </c>
      <c r="D60" s="6" t="s">
        <v>28</v>
      </c>
      <c r="E60" s="6" t="s">
        <v>39</v>
      </c>
      <c r="F60" s="6" t="s">
        <v>32</v>
      </c>
      <c r="G60" s="6">
        <v>17</v>
      </c>
      <c r="H60" s="7">
        <v>12</v>
      </c>
      <c r="I60" s="8">
        <v>0.05</v>
      </c>
      <c r="J60" s="9">
        <v>193.8</v>
      </c>
    </row>
    <row r="61" spans="1:10" ht="16.5" x14ac:dyDescent="0.3">
      <c r="A61" s="10" t="s">
        <v>104</v>
      </c>
      <c r="B61" s="11">
        <v>45062</v>
      </c>
      <c r="C61" s="12" t="s">
        <v>20</v>
      </c>
      <c r="D61" s="12" t="s">
        <v>28</v>
      </c>
      <c r="E61" s="12" t="s">
        <v>39</v>
      </c>
      <c r="F61" s="12" t="s">
        <v>64</v>
      </c>
      <c r="G61" s="12">
        <v>6</v>
      </c>
      <c r="H61" s="13">
        <v>12</v>
      </c>
      <c r="I61" s="14">
        <v>0.1</v>
      </c>
      <c r="J61" s="15">
        <v>64.8</v>
      </c>
    </row>
    <row r="62" spans="1:10" ht="16.5" x14ac:dyDescent="0.3">
      <c r="A62" s="4" t="s">
        <v>105</v>
      </c>
      <c r="B62" s="5">
        <v>45237</v>
      </c>
      <c r="C62" s="6" t="s">
        <v>16</v>
      </c>
      <c r="D62" s="6" t="s">
        <v>12</v>
      </c>
      <c r="E62" s="6" t="s">
        <v>13</v>
      </c>
      <c r="F62" s="6" t="s">
        <v>32</v>
      </c>
      <c r="G62" s="6">
        <v>11</v>
      </c>
      <c r="H62" s="7">
        <v>1500</v>
      </c>
      <c r="I62" s="8">
        <v>0.05</v>
      </c>
      <c r="J62" s="9">
        <v>15675</v>
      </c>
    </row>
    <row r="63" spans="1:10" ht="16.5" x14ac:dyDescent="0.3">
      <c r="A63" s="10" t="s">
        <v>106</v>
      </c>
      <c r="B63" s="11">
        <v>45150</v>
      </c>
      <c r="C63" s="12" t="s">
        <v>27</v>
      </c>
      <c r="D63" s="12" t="s">
        <v>12</v>
      </c>
      <c r="E63" s="12" t="s">
        <v>86</v>
      </c>
      <c r="F63" s="12" t="s">
        <v>64</v>
      </c>
      <c r="G63" s="12">
        <v>2</v>
      </c>
      <c r="H63" s="13">
        <v>80</v>
      </c>
      <c r="I63" s="14">
        <v>0.15</v>
      </c>
      <c r="J63" s="15">
        <v>136</v>
      </c>
    </row>
    <row r="64" spans="1:10" ht="16.5" x14ac:dyDescent="0.3">
      <c r="A64" s="4" t="s">
        <v>107</v>
      </c>
      <c r="B64" s="5">
        <v>45267</v>
      </c>
      <c r="C64" s="6" t="s">
        <v>27</v>
      </c>
      <c r="D64" s="6" t="s">
        <v>12</v>
      </c>
      <c r="E64" s="6" t="s">
        <v>17</v>
      </c>
      <c r="F64" s="6" t="s">
        <v>32</v>
      </c>
      <c r="G64" s="6">
        <v>14</v>
      </c>
      <c r="H64" s="7">
        <v>55</v>
      </c>
      <c r="I64" s="8">
        <v>0</v>
      </c>
      <c r="J64" s="9">
        <v>770</v>
      </c>
    </row>
    <row r="65" spans="1:10" ht="16.5" x14ac:dyDescent="0.3">
      <c r="A65" s="10" t="s">
        <v>108</v>
      </c>
      <c r="B65" s="11">
        <v>45085</v>
      </c>
      <c r="C65" s="12" t="s">
        <v>11</v>
      </c>
      <c r="D65" s="12" t="s">
        <v>28</v>
      </c>
      <c r="E65" s="12" t="s">
        <v>36</v>
      </c>
      <c r="F65" s="12" t="s">
        <v>37</v>
      </c>
      <c r="G65" s="12">
        <v>10</v>
      </c>
      <c r="H65" s="13">
        <v>5</v>
      </c>
      <c r="I65" s="14">
        <v>0.1</v>
      </c>
      <c r="J65" s="15">
        <v>45</v>
      </c>
    </row>
    <row r="66" spans="1:10" ht="16.5" x14ac:dyDescent="0.3">
      <c r="A66" s="4" t="s">
        <v>109</v>
      </c>
      <c r="B66" s="5">
        <v>45025</v>
      </c>
      <c r="C66" s="6" t="s">
        <v>16</v>
      </c>
      <c r="D66" s="6" t="s">
        <v>24</v>
      </c>
      <c r="E66" s="6" t="s">
        <v>72</v>
      </c>
      <c r="F66" s="6" t="s">
        <v>64</v>
      </c>
      <c r="G66" s="6">
        <v>18</v>
      </c>
      <c r="H66" s="7">
        <v>620</v>
      </c>
      <c r="I66" s="8">
        <v>0</v>
      </c>
      <c r="J66" s="9">
        <v>11160</v>
      </c>
    </row>
    <row r="67" spans="1:10" ht="16.5" x14ac:dyDescent="0.3">
      <c r="A67" s="10" t="s">
        <v>110</v>
      </c>
      <c r="B67" s="11">
        <v>44927</v>
      </c>
      <c r="C67" s="12" t="s">
        <v>27</v>
      </c>
      <c r="D67" s="12" t="s">
        <v>24</v>
      </c>
      <c r="E67" s="12" t="s">
        <v>111</v>
      </c>
      <c r="F67" s="12" t="s">
        <v>64</v>
      </c>
      <c r="G67" s="12">
        <v>13</v>
      </c>
      <c r="H67" s="13">
        <v>450</v>
      </c>
      <c r="I67" s="14">
        <v>0.1</v>
      </c>
      <c r="J67" s="15">
        <v>5265</v>
      </c>
    </row>
    <row r="68" spans="1:10" ht="16.5" x14ac:dyDescent="0.3">
      <c r="A68" s="4" t="s">
        <v>112</v>
      </c>
      <c r="B68" s="5">
        <v>45262</v>
      </c>
      <c r="C68" s="6" t="s">
        <v>27</v>
      </c>
      <c r="D68" s="6" t="s">
        <v>28</v>
      </c>
      <c r="E68" s="6" t="s">
        <v>29</v>
      </c>
      <c r="F68" s="6" t="s">
        <v>34</v>
      </c>
      <c r="G68" s="6">
        <v>19</v>
      </c>
      <c r="H68" s="7">
        <v>25</v>
      </c>
      <c r="I68" s="8">
        <v>0.1</v>
      </c>
      <c r="J68" s="9">
        <v>427.5</v>
      </c>
    </row>
    <row r="69" spans="1:10" ht="16.5" x14ac:dyDescent="0.3">
      <c r="A69" s="10" t="s">
        <v>113</v>
      </c>
      <c r="B69" s="11">
        <v>45169</v>
      </c>
      <c r="C69" s="12" t="s">
        <v>16</v>
      </c>
      <c r="D69" s="12" t="s">
        <v>28</v>
      </c>
      <c r="E69" s="12" t="s">
        <v>45</v>
      </c>
      <c r="F69" s="12" t="s">
        <v>48</v>
      </c>
      <c r="G69" s="12">
        <v>7</v>
      </c>
      <c r="H69" s="13">
        <v>6</v>
      </c>
      <c r="I69" s="14">
        <v>0.1</v>
      </c>
      <c r="J69" s="15">
        <v>37.799999999999997</v>
      </c>
    </row>
    <row r="70" spans="1:10" ht="16.5" x14ac:dyDescent="0.3">
      <c r="A70" s="4" t="s">
        <v>114</v>
      </c>
      <c r="B70" s="5">
        <v>45271</v>
      </c>
      <c r="C70" s="6" t="s">
        <v>11</v>
      </c>
      <c r="D70" s="6" t="s">
        <v>21</v>
      </c>
      <c r="E70" s="6" t="s">
        <v>83</v>
      </c>
      <c r="F70" s="6" t="s">
        <v>32</v>
      </c>
      <c r="G70" s="6">
        <v>3</v>
      </c>
      <c r="H70" s="7">
        <v>250</v>
      </c>
      <c r="I70" s="8">
        <v>0</v>
      </c>
      <c r="J70" s="9">
        <v>750</v>
      </c>
    </row>
    <row r="71" spans="1:10" ht="16.5" x14ac:dyDescent="0.3">
      <c r="A71" s="10" t="s">
        <v>115</v>
      </c>
      <c r="B71" s="11">
        <v>45052</v>
      </c>
      <c r="C71" s="12" t="s">
        <v>27</v>
      </c>
      <c r="D71" s="12" t="s">
        <v>28</v>
      </c>
      <c r="E71" s="12" t="s">
        <v>41</v>
      </c>
      <c r="F71" s="12" t="s">
        <v>57</v>
      </c>
      <c r="G71" s="12">
        <v>1</v>
      </c>
      <c r="H71" s="13">
        <v>8</v>
      </c>
      <c r="I71" s="14">
        <v>0</v>
      </c>
      <c r="J71" s="15">
        <v>8</v>
      </c>
    </row>
    <row r="72" spans="1:10" ht="16.5" x14ac:dyDescent="0.3">
      <c r="A72" s="4" t="s">
        <v>116</v>
      </c>
      <c r="B72" s="5">
        <v>45221</v>
      </c>
      <c r="C72" s="6" t="s">
        <v>20</v>
      </c>
      <c r="D72" s="6" t="s">
        <v>24</v>
      </c>
      <c r="E72" s="6" t="s">
        <v>25</v>
      </c>
      <c r="F72" s="6" t="s">
        <v>48</v>
      </c>
      <c r="G72" s="6">
        <v>14</v>
      </c>
      <c r="H72" s="7">
        <v>60</v>
      </c>
      <c r="I72" s="8">
        <v>0.15</v>
      </c>
      <c r="J72" s="9">
        <v>714</v>
      </c>
    </row>
    <row r="73" spans="1:10" ht="16.5" x14ac:dyDescent="0.3">
      <c r="A73" s="10" t="s">
        <v>117</v>
      </c>
      <c r="B73" s="11">
        <v>45262</v>
      </c>
      <c r="C73" s="12" t="s">
        <v>16</v>
      </c>
      <c r="D73" s="12" t="s">
        <v>21</v>
      </c>
      <c r="E73" s="12" t="s">
        <v>47</v>
      </c>
      <c r="F73" s="12" t="s">
        <v>34</v>
      </c>
      <c r="G73" s="12">
        <v>8</v>
      </c>
      <c r="H73" s="13">
        <v>35</v>
      </c>
      <c r="I73" s="14">
        <v>0</v>
      </c>
      <c r="J73" s="15">
        <v>280</v>
      </c>
    </row>
    <row r="74" spans="1:10" ht="16.5" x14ac:dyDescent="0.3">
      <c r="A74" s="4" t="s">
        <v>118</v>
      </c>
      <c r="B74" s="5">
        <v>45192</v>
      </c>
      <c r="C74" s="6" t="s">
        <v>16</v>
      </c>
      <c r="D74" s="6" t="s">
        <v>12</v>
      </c>
      <c r="E74" s="6" t="s">
        <v>13</v>
      </c>
      <c r="F74" s="6" t="s">
        <v>14</v>
      </c>
      <c r="G74" s="6">
        <v>6</v>
      </c>
      <c r="H74" s="7">
        <v>1500</v>
      </c>
      <c r="I74" s="8">
        <v>0.15</v>
      </c>
      <c r="J74" s="9">
        <v>7650</v>
      </c>
    </row>
    <row r="75" spans="1:10" ht="16.5" x14ac:dyDescent="0.3">
      <c r="A75" s="10" t="s">
        <v>119</v>
      </c>
      <c r="B75" s="11">
        <v>45164</v>
      </c>
      <c r="C75" s="12" t="s">
        <v>27</v>
      </c>
      <c r="D75" s="12" t="s">
        <v>24</v>
      </c>
      <c r="E75" s="12" t="s">
        <v>31</v>
      </c>
      <c r="F75" s="12" t="s">
        <v>37</v>
      </c>
      <c r="G75" s="12">
        <v>15</v>
      </c>
      <c r="H75" s="13">
        <v>80</v>
      </c>
      <c r="I75" s="14">
        <v>0</v>
      </c>
      <c r="J75" s="15">
        <v>1200</v>
      </c>
    </row>
    <row r="76" spans="1:10" ht="16.5" x14ac:dyDescent="0.3">
      <c r="A76" s="4" t="s">
        <v>120</v>
      </c>
      <c r="B76" s="5">
        <v>45170</v>
      </c>
      <c r="C76" s="6" t="s">
        <v>16</v>
      </c>
      <c r="D76" s="6" t="s">
        <v>28</v>
      </c>
      <c r="E76" s="6" t="s">
        <v>45</v>
      </c>
      <c r="F76" s="6" t="s">
        <v>48</v>
      </c>
      <c r="G76" s="6">
        <v>6</v>
      </c>
      <c r="H76" s="7">
        <v>6</v>
      </c>
      <c r="I76" s="8">
        <v>0.15</v>
      </c>
      <c r="J76" s="9">
        <v>30.6</v>
      </c>
    </row>
    <row r="77" spans="1:10" ht="16.5" x14ac:dyDescent="0.3">
      <c r="A77" s="10" t="s">
        <v>121</v>
      </c>
      <c r="B77" s="11">
        <v>45247</v>
      </c>
      <c r="C77" s="12" t="s">
        <v>27</v>
      </c>
      <c r="D77" s="12" t="s">
        <v>24</v>
      </c>
      <c r="E77" s="12" t="s">
        <v>72</v>
      </c>
      <c r="F77" s="12" t="s">
        <v>64</v>
      </c>
      <c r="G77" s="12">
        <v>17</v>
      </c>
      <c r="H77" s="13">
        <v>620</v>
      </c>
      <c r="I77" s="14">
        <v>0.05</v>
      </c>
      <c r="J77" s="15">
        <v>10013</v>
      </c>
    </row>
    <row r="78" spans="1:10" ht="16.5" x14ac:dyDescent="0.3">
      <c r="A78" s="4" t="s">
        <v>122</v>
      </c>
      <c r="B78" s="5">
        <v>45066</v>
      </c>
      <c r="C78" s="6" t="s">
        <v>16</v>
      </c>
      <c r="D78" s="6" t="s">
        <v>21</v>
      </c>
      <c r="E78" s="6" t="s">
        <v>69</v>
      </c>
      <c r="F78" s="6" t="s">
        <v>37</v>
      </c>
      <c r="G78" s="6">
        <v>10</v>
      </c>
      <c r="H78" s="7">
        <v>95</v>
      </c>
      <c r="I78" s="8">
        <v>0</v>
      </c>
      <c r="J78" s="9">
        <v>950</v>
      </c>
    </row>
    <row r="79" spans="1:10" ht="16.5" x14ac:dyDescent="0.3">
      <c r="A79" s="10" t="s">
        <v>123</v>
      </c>
      <c r="B79" s="11">
        <v>45123</v>
      </c>
      <c r="C79" s="12" t="s">
        <v>20</v>
      </c>
      <c r="D79" s="12" t="s">
        <v>28</v>
      </c>
      <c r="E79" s="12" t="s">
        <v>29</v>
      </c>
      <c r="F79" s="12" t="s">
        <v>57</v>
      </c>
      <c r="G79" s="12">
        <v>5</v>
      </c>
      <c r="H79" s="13">
        <v>25</v>
      </c>
      <c r="I79" s="14">
        <v>0</v>
      </c>
      <c r="J79" s="15">
        <v>125</v>
      </c>
    </row>
    <row r="80" spans="1:10" ht="16.5" x14ac:dyDescent="0.3">
      <c r="A80" s="4" t="s">
        <v>124</v>
      </c>
      <c r="B80" s="5">
        <v>45204</v>
      </c>
      <c r="C80" s="6" t="s">
        <v>20</v>
      </c>
      <c r="D80" s="6" t="s">
        <v>21</v>
      </c>
      <c r="E80" s="6" t="s">
        <v>51</v>
      </c>
      <c r="F80" s="6" t="s">
        <v>34</v>
      </c>
      <c r="G80" s="6">
        <v>14</v>
      </c>
      <c r="H80" s="7">
        <v>180</v>
      </c>
      <c r="I80" s="8">
        <v>0</v>
      </c>
      <c r="J80" s="9">
        <v>2520</v>
      </c>
    </row>
    <row r="81" spans="1:10" ht="16.5" x14ac:dyDescent="0.3">
      <c r="A81" s="10" t="s">
        <v>125</v>
      </c>
      <c r="B81" s="11">
        <v>45226</v>
      </c>
      <c r="C81" s="12" t="s">
        <v>20</v>
      </c>
      <c r="D81" s="12" t="s">
        <v>24</v>
      </c>
      <c r="E81" s="12" t="s">
        <v>111</v>
      </c>
      <c r="F81" s="12" t="s">
        <v>14</v>
      </c>
      <c r="G81" s="12">
        <v>14</v>
      </c>
      <c r="H81" s="13">
        <v>450</v>
      </c>
      <c r="I81" s="14">
        <v>0.05</v>
      </c>
      <c r="J81" s="15">
        <v>5985</v>
      </c>
    </row>
    <row r="82" spans="1:10" ht="16.5" x14ac:dyDescent="0.3">
      <c r="A82" s="4" t="s">
        <v>126</v>
      </c>
      <c r="B82" s="5">
        <v>45079</v>
      </c>
      <c r="C82" s="6" t="s">
        <v>16</v>
      </c>
      <c r="D82" s="6" t="s">
        <v>12</v>
      </c>
      <c r="E82" s="6" t="s">
        <v>17</v>
      </c>
      <c r="F82" s="6" t="s">
        <v>48</v>
      </c>
      <c r="G82" s="6">
        <v>1</v>
      </c>
      <c r="H82" s="7">
        <v>55</v>
      </c>
      <c r="I82" s="8">
        <v>0</v>
      </c>
      <c r="J82" s="9">
        <v>55</v>
      </c>
    </row>
    <row r="83" spans="1:10" ht="16.5" x14ac:dyDescent="0.3">
      <c r="A83" s="10" t="s">
        <v>127</v>
      </c>
      <c r="B83" s="11">
        <v>45150</v>
      </c>
      <c r="C83" s="12" t="s">
        <v>27</v>
      </c>
      <c r="D83" s="12" t="s">
        <v>24</v>
      </c>
      <c r="E83" s="12" t="s">
        <v>111</v>
      </c>
      <c r="F83" s="12" t="s">
        <v>48</v>
      </c>
      <c r="G83" s="12">
        <v>8</v>
      </c>
      <c r="H83" s="13">
        <v>450</v>
      </c>
      <c r="I83" s="14">
        <v>0</v>
      </c>
      <c r="J83" s="15">
        <v>3600</v>
      </c>
    </row>
    <row r="84" spans="1:10" ht="16.5" x14ac:dyDescent="0.3">
      <c r="A84" s="4" t="s">
        <v>128</v>
      </c>
      <c r="B84" s="5">
        <v>45011</v>
      </c>
      <c r="C84" s="6" t="s">
        <v>16</v>
      </c>
      <c r="D84" s="6" t="s">
        <v>24</v>
      </c>
      <c r="E84" s="6" t="s">
        <v>31</v>
      </c>
      <c r="F84" s="6" t="s">
        <v>32</v>
      </c>
      <c r="G84" s="6">
        <v>13</v>
      </c>
      <c r="H84" s="7">
        <v>80</v>
      </c>
      <c r="I84" s="8">
        <v>0.15</v>
      </c>
      <c r="J84" s="9">
        <v>884</v>
      </c>
    </row>
    <row r="85" spans="1:10" ht="16.5" x14ac:dyDescent="0.3">
      <c r="A85" s="10" t="s">
        <v>129</v>
      </c>
      <c r="B85" s="11">
        <v>45266</v>
      </c>
      <c r="C85" s="12" t="s">
        <v>20</v>
      </c>
      <c r="D85" s="12" t="s">
        <v>24</v>
      </c>
      <c r="E85" s="12" t="s">
        <v>63</v>
      </c>
      <c r="F85" s="12" t="s">
        <v>34</v>
      </c>
      <c r="G85" s="12">
        <v>19</v>
      </c>
      <c r="H85" s="13">
        <v>350</v>
      </c>
      <c r="I85" s="14">
        <v>0.1</v>
      </c>
      <c r="J85" s="15">
        <v>5985</v>
      </c>
    </row>
    <row r="86" spans="1:10" ht="16.5" x14ac:dyDescent="0.3">
      <c r="A86" s="4" t="s">
        <v>130</v>
      </c>
      <c r="B86" s="5">
        <v>44952</v>
      </c>
      <c r="C86" s="6" t="s">
        <v>16</v>
      </c>
      <c r="D86" s="6" t="s">
        <v>12</v>
      </c>
      <c r="E86" s="6" t="s">
        <v>13</v>
      </c>
      <c r="F86" s="6" t="s">
        <v>57</v>
      </c>
      <c r="G86" s="6">
        <v>15</v>
      </c>
      <c r="H86" s="7">
        <v>1500</v>
      </c>
      <c r="I86" s="8">
        <v>0</v>
      </c>
      <c r="J86" s="9">
        <v>22500</v>
      </c>
    </row>
    <row r="87" spans="1:10" ht="16.5" x14ac:dyDescent="0.3">
      <c r="A87" s="10" t="s">
        <v>131</v>
      </c>
      <c r="B87" s="11">
        <v>45099</v>
      </c>
      <c r="C87" s="12" t="s">
        <v>11</v>
      </c>
      <c r="D87" s="12" t="s">
        <v>28</v>
      </c>
      <c r="E87" s="12" t="s">
        <v>45</v>
      </c>
      <c r="F87" s="12" t="s">
        <v>14</v>
      </c>
      <c r="G87" s="12">
        <v>15</v>
      </c>
      <c r="H87" s="13">
        <v>6</v>
      </c>
      <c r="I87" s="14">
        <v>0</v>
      </c>
      <c r="J87" s="15">
        <v>90</v>
      </c>
    </row>
    <row r="88" spans="1:10" ht="16.5" x14ac:dyDescent="0.3">
      <c r="A88" s="4" t="s">
        <v>132</v>
      </c>
      <c r="B88" s="5">
        <v>44936</v>
      </c>
      <c r="C88" s="6" t="s">
        <v>16</v>
      </c>
      <c r="D88" s="6" t="s">
        <v>24</v>
      </c>
      <c r="E88" s="6" t="s">
        <v>72</v>
      </c>
      <c r="F88" s="6" t="s">
        <v>64</v>
      </c>
      <c r="G88" s="6">
        <v>3</v>
      </c>
      <c r="H88" s="7">
        <v>620</v>
      </c>
      <c r="I88" s="8">
        <v>0.05</v>
      </c>
      <c r="J88" s="9">
        <v>1767</v>
      </c>
    </row>
    <row r="89" spans="1:10" ht="16.5" x14ac:dyDescent="0.3">
      <c r="A89" s="10" t="s">
        <v>133</v>
      </c>
      <c r="B89" s="11">
        <v>45053</v>
      </c>
      <c r="C89" s="12" t="s">
        <v>27</v>
      </c>
      <c r="D89" s="12" t="s">
        <v>12</v>
      </c>
      <c r="E89" s="12" t="s">
        <v>81</v>
      </c>
      <c r="F89" s="12" t="s">
        <v>37</v>
      </c>
      <c r="G89" s="12">
        <v>2</v>
      </c>
      <c r="H89" s="13">
        <v>45</v>
      </c>
      <c r="I89" s="14">
        <v>0</v>
      </c>
      <c r="J89" s="15">
        <v>90</v>
      </c>
    </row>
    <row r="90" spans="1:10" ht="16.5" x14ac:dyDescent="0.3">
      <c r="A90" s="4" t="s">
        <v>134</v>
      </c>
      <c r="B90" s="5">
        <v>45269</v>
      </c>
      <c r="C90" s="6" t="s">
        <v>27</v>
      </c>
      <c r="D90" s="6" t="s">
        <v>21</v>
      </c>
      <c r="E90" s="6" t="s">
        <v>83</v>
      </c>
      <c r="F90" s="6" t="s">
        <v>14</v>
      </c>
      <c r="G90" s="6">
        <v>5</v>
      </c>
      <c r="H90" s="7">
        <v>250</v>
      </c>
      <c r="I90" s="8">
        <v>0.05</v>
      </c>
      <c r="J90" s="9">
        <v>1187.5</v>
      </c>
    </row>
    <row r="91" spans="1:10" ht="16.5" x14ac:dyDescent="0.3">
      <c r="A91" s="10" t="s">
        <v>135</v>
      </c>
      <c r="B91" s="11">
        <v>45012</v>
      </c>
      <c r="C91" s="12" t="s">
        <v>27</v>
      </c>
      <c r="D91" s="12" t="s">
        <v>12</v>
      </c>
      <c r="E91" s="12" t="s">
        <v>17</v>
      </c>
      <c r="F91" s="12" t="s">
        <v>48</v>
      </c>
      <c r="G91" s="12">
        <v>9</v>
      </c>
      <c r="H91" s="13">
        <v>55</v>
      </c>
      <c r="I91" s="14">
        <v>0</v>
      </c>
      <c r="J91" s="15">
        <v>495</v>
      </c>
    </row>
    <row r="92" spans="1:10" ht="16.5" x14ac:dyDescent="0.3">
      <c r="A92" s="4" t="s">
        <v>136</v>
      </c>
      <c r="B92" s="5">
        <v>45086</v>
      </c>
      <c r="C92" s="6" t="s">
        <v>11</v>
      </c>
      <c r="D92" s="6" t="s">
        <v>12</v>
      </c>
      <c r="E92" s="6" t="s">
        <v>60</v>
      </c>
      <c r="F92" s="6" t="s">
        <v>37</v>
      </c>
      <c r="G92" s="6">
        <v>19</v>
      </c>
      <c r="H92" s="7">
        <v>450</v>
      </c>
      <c r="I92" s="8">
        <v>0</v>
      </c>
      <c r="J92" s="9">
        <v>8550</v>
      </c>
    </row>
    <row r="93" spans="1:10" ht="16.5" x14ac:dyDescent="0.3">
      <c r="A93" s="10" t="s">
        <v>137</v>
      </c>
      <c r="B93" s="11">
        <v>45248</v>
      </c>
      <c r="C93" s="12" t="s">
        <v>27</v>
      </c>
      <c r="D93" s="12" t="s">
        <v>24</v>
      </c>
      <c r="E93" s="12" t="s">
        <v>111</v>
      </c>
      <c r="F93" s="12" t="s">
        <v>37</v>
      </c>
      <c r="G93" s="12">
        <v>19</v>
      </c>
      <c r="H93" s="13">
        <v>450</v>
      </c>
      <c r="I93" s="14">
        <v>0.15</v>
      </c>
      <c r="J93" s="15">
        <v>7267.5</v>
      </c>
    </row>
    <row r="94" spans="1:10" ht="16.5" x14ac:dyDescent="0.3">
      <c r="A94" s="4" t="s">
        <v>138</v>
      </c>
      <c r="B94" s="5">
        <v>45104</v>
      </c>
      <c r="C94" s="6" t="s">
        <v>11</v>
      </c>
      <c r="D94" s="6" t="s">
        <v>21</v>
      </c>
      <c r="E94" s="6" t="s">
        <v>83</v>
      </c>
      <c r="F94" s="6" t="s">
        <v>37</v>
      </c>
      <c r="G94" s="6">
        <v>19</v>
      </c>
      <c r="H94" s="7">
        <v>250</v>
      </c>
      <c r="I94" s="8">
        <v>0</v>
      </c>
      <c r="J94" s="9">
        <v>4750</v>
      </c>
    </row>
    <row r="95" spans="1:10" ht="16.5" x14ac:dyDescent="0.3">
      <c r="A95" s="10" t="s">
        <v>139</v>
      </c>
      <c r="B95" s="11">
        <v>45177</v>
      </c>
      <c r="C95" s="12" t="s">
        <v>20</v>
      </c>
      <c r="D95" s="12" t="s">
        <v>24</v>
      </c>
      <c r="E95" s="12" t="s">
        <v>72</v>
      </c>
      <c r="F95" s="12" t="s">
        <v>32</v>
      </c>
      <c r="G95" s="12">
        <v>1</v>
      </c>
      <c r="H95" s="13">
        <v>620</v>
      </c>
      <c r="I95" s="14">
        <v>0.05</v>
      </c>
      <c r="J95" s="15">
        <v>589</v>
      </c>
    </row>
    <row r="96" spans="1:10" ht="16.5" x14ac:dyDescent="0.3">
      <c r="A96" s="4" t="s">
        <v>140</v>
      </c>
      <c r="B96" s="5">
        <v>45017</v>
      </c>
      <c r="C96" s="6" t="s">
        <v>11</v>
      </c>
      <c r="D96" s="6" t="s">
        <v>12</v>
      </c>
      <c r="E96" s="6" t="s">
        <v>86</v>
      </c>
      <c r="F96" s="6" t="s">
        <v>48</v>
      </c>
      <c r="G96" s="6">
        <v>5</v>
      </c>
      <c r="H96" s="7">
        <v>80</v>
      </c>
      <c r="I96" s="8">
        <v>0.05</v>
      </c>
      <c r="J96" s="9">
        <v>380</v>
      </c>
    </row>
    <row r="97" spans="1:10" ht="16.5" x14ac:dyDescent="0.3">
      <c r="A97" s="10" t="s">
        <v>141</v>
      </c>
      <c r="B97" s="11">
        <v>45230</v>
      </c>
      <c r="C97" s="12" t="s">
        <v>16</v>
      </c>
      <c r="D97" s="12" t="s">
        <v>28</v>
      </c>
      <c r="E97" s="12" t="s">
        <v>36</v>
      </c>
      <c r="F97" s="12" t="s">
        <v>48</v>
      </c>
      <c r="G97" s="12">
        <v>14</v>
      </c>
      <c r="H97" s="13">
        <v>5</v>
      </c>
      <c r="I97" s="14">
        <v>0.15</v>
      </c>
      <c r="J97" s="15">
        <v>59.5</v>
      </c>
    </row>
    <row r="98" spans="1:10" ht="16.5" x14ac:dyDescent="0.3">
      <c r="A98" s="4" t="s">
        <v>142</v>
      </c>
      <c r="B98" s="5">
        <v>45051</v>
      </c>
      <c r="C98" s="6" t="s">
        <v>27</v>
      </c>
      <c r="D98" s="6" t="s">
        <v>28</v>
      </c>
      <c r="E98" s="6" t="s">
        <v>29</v>
      </c>
      <c r="F98" s="6" t="s">
        <v>37</v>
      </c>
      <c r="G98" s="6">
        <v>9</v>
      </c>
      <c r="H98" s="7">
        <v>25</v>
      </c>
      <c r="I98" s="8">
        <v>0.05</v>
      </c>
      <c r="J98" s="9">
        <v>213.75</v>
      </c>
    </row>
    <row r="99" spans="1:10" ht="16.5" x14ac:dyDescent="0.3">
      <c r="A99" s="10" t="s">
        <v>143</v>
      </c>
      <c r="B99" s="11">
        <v>45093</v>
      </c>
      <c r="C99" s="12" t="s">
        <v>16</v>
      </c>
      <c r="D99" s="12" t="s">
        <v>24</v>
      </c>
      <c r="E99" s="12" t="s">
        <v>25</v>
      </c>
      <c r="F99" s="12" t="s">
        <v>32</v>
      </c>
      <c r="G99" s="12">
        <v>1</v>
      </c>
      <c r="H99" s="13">
        <v>60</v>
      </c>
      <c r="I99" s="14">
        <v>0.05</v>
      </c>
      <c r="J99" s="15">
        <v>57</v>
      </c>
    </row>
    <row r="100" spans="1:10" ht="16.5" x14ac:dyDescent="0.3">
      <c r="A100" s="4" t="s">
        <v>144</v>
      </c>
      <c r="B100" s="5">
        <v>45070</v>
      </c>
      <c r="C100" s="6" t="s">
        <v>27</v>
      </c>
      <c r="D100" s="6" t="s">
        <v>21</v>
      </c>
      <c r="E100" s="6" t="s">
        <v>47</v>
      </c>
      <c r="F100" s="6" t="s">
        <v>32</v>
      </c>
      <c r="G100" s="6">
        <v>9</v>
      </c>
      <c r="H100" s="7">
        <v>35</v>
      </c>
      <c r="I100" s="8">
        <v>0</v>
      </c>
      <c r="J100" s="9">
        <v>315</v>
      </c>
    </row>
    <row r="101" spans="1:10" ht="16.5" x14ac:dyDescent="0.3">
      <c r="A101" s="10" t="s">
        <v>145</v>
      </c>
      <c r="B101" s="11">
        <v>45135</v>
      </c>
      <c r="C101" s="12" t="s">
        <v>20</v>
      </c>
      <c r="D101" s="12" t="s">
        <v>28</v>
      </c>
      <c r="E101" s="12" t="s">
        <v>36</v>
      </c>
      <c r="F101" s="12" t="s">
        <v>14</v>
      </c>
      <c r="G101" s="12">
        <v>3</v>
      </c>
      <c r="H101" s="13">
        <v>5</v>
      </c>
      <c r="I101" s="14">
        <v>0</v>
      </c>
      <c r="J101" s="15">
        <v>15</v>
      </c>
    </row>
    <row r="102" spans="1:10" ht="16.5" x14ac:dyDescent="0.3">
      <c r="A102" s="4" t="s">
        <v>146</v>
      </c>
      <c r="B102" s="5">
        <v>44935</v>
      </c>
      <c r="C102" s="6" t="s">
        <v>27</v>
      </c>
      <c r="D102" s="6" t="s">
        <v>24</v>
      </c>
      <c r="E102" s="6" t="s">
        <v>25</v>
      </c>
      <c r="F102" s="6" t="s">
        <v>48</v>
      </c>
      <c r="G102" s="6">
        <v>16</v>
      </c>
      <c r="H102" s="7">
        <v>60</v>
      </c>
      <c r="I102" s="8">
        <v>0.05</v>
      </c>
      <c r="J102" s="9">
        <v>912</v>
      </c>
    </row>
    <row r="103" spans="1:10" ht="16.5" x14ac:dyDescent="0.3">
      <c r="A103" s="10" t="s">
        <v>147</v>
      </c>
      <c r="B103" s="11">
        <v>45266</v>
      </c>
      <c r="C103" s="12" t="s">
        <v>27</v>
      </c>
      <c r="D103" s="12" t="s">
        <v>12</v>
      </c>
      <c r="E103" s="12" t="s">
        <v>81</v>
      </c>
      <c r="F103" s="12" t="s">
        <v>34</v>
      </c>
      <c r="G103" s="12">
        <v>8</v>
      </c>
      <c r="H103" s="13">
        <v>45</v>
      </c>
      <c r="I103" s="14">
        <v>0</v>
      </c>
      <c r="J103" s="15">
        <v>360</v>
      </c>
    </row>
    <row r="104" spans="1:10" ht="16.5" x14ac:dyDescent="0.3">
      <c r="A104" s="4" t="s">
        <v>148</v>
      </c>
      <c r="B104" s="5">
        <v>45107</v>
      </c>
      <c r="C104" s="6" t="s">
        <v>11</v>
      </c>
      <c r="D104" s="6" t="s">
        <v>28</v>
      </c>
      <c r="E104" s="6" t="s">
        <v>45</v>
      </c>
      <c r="F104" s="6" t="s">
        <v>34</v>
      </c>
      <c r="G104" s="6">
        <v>18</v>
      </c>
      <c r="H104" s="7">
        <v>6</v>
      </c>
      <c r="I104" s="8">
        <v>0</v>
      </c>
      <c r="J104" s="9">
        <v>108</v>
      </c>
    </row>
    <row r="105" spans="1:10" ht="16.5" x14ac:dyDescent="0.3">
      <c r="A105" s="10" t="s">
        <v>149</v>
      </c>
      <c r="B105" s="11">
        <v>45025</v>
      </c>
      <c r="C105" s="12" t="s">
        <v>11</v>
      </c>
      <c r="D105" s="12" t="s">
        <v>24</v>
      </c>
      <c r="E105" s="12" t="s">
        <v>72</v>
      </c>
      <c r="F105" s="12" t="s">
        <v>64</v>
      </c>
      <c r="G105" s="12">
        <v>8</v>
      </c>
      <c r="H105" s="13">
        <v>620</v>
      </c>
      <c r="I105" s="14">
        <v>0</v>
      </c>
      <c r="J105" s="15">
        <v>4960</v>
      </c>
    </row>
    <row r="106" spans="1:10" ht="16.5" x14ac:dyDescent="0.3">
      <c r="A106" s="4" t="s">
        <v>150</v>
      </c>
      <c r="B106" s="5">
        <v>45174</v>
      </c>
      <c r="C106" s="6" t="s">
        <v>27</v>
      </c>
      <c r="D106" s="6" t="s">
        <v>28</v>
      </c>
      <c r="E106" s="6" t="s">
        <v>39</v>
      </c>
      <c r="F106" s="6" t="s">
        <v>14</v>
      </c>
      <c r="G106" s="6">
        <v>7</v>
      </c>
      <c r="H106" s="7">
        <v>12</v>
      </c>
      <c r="I106" s="8">
        <v>0.15</v>
      </c>
      <c r="J106" s="9">
        <v>71.400000000000006</v>
      </c>
    </row>
    <row r="107" spans="1:10" ht="16.5" x14ac:dyDescent="0.3">
      <c r="A107" s="10" t="s">
        <v>151</v>
      </c>
      <c r="B107" s="11">
        <v>45043</v>
      </c>
      <c r="C107" s="12" t="s">
        <v>11</v>
      </c>
      <c r="D107" s="12" t="s">
        <v>28</v>
      </c>
      <c r="E107" s="12" t="s">
        <v>36</v>
      </c>
      <c r="F107" s="12" t="s">
        <v>37</v>
      </c>
      <c r="G107" s="12">
        <v>7</v>
      </c>
      <c r="H107" s="13">
        <v>5</v>
      </c>
      <c r="I107" s="14">
        <v>0</v>
      </c>
      <c r="J107" s="15">
        <v>35</v>
      </c>
    </row>
    <row r="108" spans="1:10" ht="16.5" x14ac:dyDescent="0.3">
      <c r="A108" s="4" t="s">
        <v>152</v>
      </c>
      <c r="B108" s="5">
        <v>45067</v>
      </c>
      <c r="C108" s="6" t="s">
        <v>11</v>
      </c>
      <c r="D108" s="6" t="s">
        <v>28</v>
      </c>
      <c r="E108" s="6" t="s">
        <v>41</v>
      </c>
      <c r="F108" s="6" t="s">
        <v>18</v>
      </c>
      <c r="G108" s="6">
        <v>18</v>
      </c>
      <c r="H108" s="7">
        <v>8</v>
      </c>
      <c r="I108" s="8">
        <v>0</v>
      </c>
      <c r="J108" s="9">
        <v>144</v>
      </c>
    </row>
    <row r="109" spans="1:10" ht="16.5" x14ac:dyDescent="0.3">
      <c r="A109" s="10" t="s">
        <v>153</v>
      </c>
      <c r="B109" s="11">
        <v>44933</v>
      </c>
      <c r="C109" s="12" t="s">
        <v>11</v>
      </c>
      <c r="D109" s="12" t="s">
        <v>12</v>
      </c>
      <c r="E109" s="12" t="s">
        <v>13</v>
      </c>
      <c r="F109" s="12" t="s">
        <v>57</v>
      </c>
      <c r="G109" s="12">
        <v>16</v>
      </c>
      <c r="H109" s="13">
        <v>1500</v>
      </c>
      <c r="I109" s="14">
        <v>0</v>
      </c>
      <c r="J109" s="15">
        <v>24000</v>
      </c>
    </row>
    <row r="110" spans="1:10" ht="16.5" x14ac:dyDescent="0.3">
      <c r="A110" s="4" t="s">
        <v>154</v>
      </c>
      <c r="B110" s="5">
        <v>44953</v>
      </c>
      <c r="C110" s="6" t="s">
        <v>16</v>
      </c>
      <c r="D110" s="6" t="s">
        <v>28</v>
      </c>
      <c r="E110" s="6" t="s">
        <v>45</v>
      </c>
      <c r="F110" s="6" t="s">
        <v>48</v>
      </c>
      <c r="G110" s="6">
        <v>11</v>
      </c>
      <c r="H110" s="7">
        <v>6</v>
      </c>
      <c r="I110" s="8">
        <v>0</v>
      </c>
      <c r="J110" s="9">
        <v>66</v>
      </c>
    </row>
    <row r="111" spans="1:10" ht="16.5" x14ac:dyDescent="0.3">
      <c r="A111" s="10" t="s">
        <v>155</v>
      </c>
      <c r="B111" s="11">
        <v>44964</v>
      </c>
      <c r="C111" s="12" t="s">
        <v>20</v>
      </c>
      <c r="D111" s="12" t="s">
        <v>28</v>
      </c>
      <c r="E111" s="12" t="s">
        <v>45</v>
      </c>
      <c r="F111" s="12" t="s">
        <v>37</v>
      </c>
      <c r="G111" s="12">
        <v>13</v>
      </c>
      <c r="H111" s="13">
        <v>6</v>
      </c>
      <c r="I111" s="14">
        <v>0.05</v>
      </c>
      <c r="J111" s="15">
        <v>74.099999999999994</v>
      </c>
    </row>
    <row r="112" spans="1:10" ht="16.5" x14ac:dyDescent="0.3">
      <c r="A112" s="4" t="s">
        <v>156</v>
      </c>
      <c r="B112" s="5">
        <v>44987</v>
      </c>
      <c r="C112" s="6" t="s">
        <v>27</v>
      </c>
      <c r="D112" s="6" t="s">
        <v>12</v>
      </c>
      <c r="E112" s="6" t="s">
        <v>60</v>
      </c>
      <c r="F112" s="6" t="s">
        <v>64</v>
      </c>
      <c r="G112" s="6">
        <v>3</v>
      </c>
      <c r="H112" s="7">
        <v>450</v>
      </c>
      <c r="I112" s="8">
        <v>0</v>
      </c>
      <c r="J112" s="9">
        <v>1350</v>
      </c>
    </row>
    <row r="113" spans="1:10" ht="16.5" x14ac:dyDescent="0.3">
      <c r="A113" s="10" t="s">
        <v>157</v>
      </c>
      <c r="B113" s="11">
        <v>45079</v>
      </c>
      <c r="C113" s="12" t="s">
        <v>27</v>
      </c>
      <c r="D113" s="12" t="s">
        <v>24</v>
      </c>
      <c r="E113" s="12" t="s">
        <v>25</v>
      </c>
      <c r="F113" s="12" t="s">
        <v>34</v>
      </c>
      <c r="G113" s="12">
        <v>15</v>
      </c>
      <c r="H113" s="13">
        <v>60</v>
      </c>
      <c r="I113" s="14">
        <v>0.05</v>
      </c>
      <c r="J113" s="15">
        <v>855</v>
      </c>
    </row>
    <row r="114" spans="1:10" ht="16.5" x14ac:dyDescent="0.3">
      <c r="A114" s="4" t="s">
        <v>158</v>
      </c>
      <c r="B114" s="5">
        <v>45035</v>
      </c>
      <c r="C114" s="6" t="s">
        <v>20</v>
      </c>
      <c r="D114" s="6" t="s">
        <v>24</v>
      </c>
      <c r="E114" s="6" t="s">
        <v>72</v>
      </c>
      <c r="F114" s="6" t="s">
        <v>37</v>
      </c>
      <c r="G114" s="6">
        <v>7</v>
      </c>
      <c r="H114" s="7">
        <v>620</v>
      </c>
      <c r="I114" s="8">
        <v>0.15</v>
      </c>
      <c r="J114" s="9">
        <v>3689</v>
      </c>
    </row>
    <row r="115" spans="1:10" ht="16.5" x14ac:dyDescent="0.3">
      <c r="A115" s="10" t="s">
        <v>159</v>
      </c>
      <c r="B115" s="11">
        <v>44965</v>
      </c>
      <c r="C115" s="12" t="s">
        <v>27</v>
      </c>
      <c r="D115" s="12" t="s">
        <v>28</v>
      </c>
      <c r="E115" s="12" t="s">
        <v>39</v>
      </c>
      <c r="F115" s="12" t="s">
        <v>14</v>
      </c>
      <c r="G115" s="12">
        <v>6</v>
      </c>
      <c r="H115" s="13">
        <v>12</v>
      </c>
      <c r="I115" s="14">
        <v>0.1</v>
      </c>
      <c r="J115" s="15">
        <v>64.8</v>
      </c>
    </row>
    <row r="116" spans="1:10" ht="16.5" x14ac:dyDescent="0.3">
      <c r="A116" s="4" t="s">
        <v>160</v>
      </c>
      <c r="B116" s="5">
        <v>45076</v>
      </c>
      <c r="C116" s="6" t="s">
        <v>16</v>
      </c>
      <c r="D116" s="6" t="s">
        <v>21</v>
      </c>
      <c r="E116" s="6" t="s">
        <v>83</v>
      </c>
      <c r="F116" s="6" t="s">
        <v>48</v>
      </c>
      <c r="G116" s="6">
        <v>20</v>
      </c>
      <c r="H116" s="7">
        <v>250</v>
      </c>
      <c r="I116" s="8">
        <v>0.05</v>
      </c>
      <c r="J116" s="9">
        <v>4750</v>
      </c>
    </row>
    <row r="117" spans="1:10" ht="16.5" x14ac:dyDescent="0.3">
      <c r="A117" s="10" t="s">
        <v>161</v>
      </c>
      <c r="B117" s="11">
        <v>45278</v>
      </c>
      <c r="C117" s="12" t="s">
        <v>11</v>
      </c>
      <c r="D117" s="12" t="s">
        <v>12</v>
      </c>
      <c r="E117" s="12" t="s">
        <v>60</v>
      </c>
      <c r="F117" s="12" t="s">
        <v>64</v>
      </c>
      <c r="G117" s="12">
        <v>15</v>
      </c>
      <c r="H117" s="13">
        <v>450</v>
      </c>
      <c r="I117" s="14">
        <v>0</v>
      </c>
      <c r="J117" s="15">
        <v>6750</v>
      </c>
    </row>
    <row r="118" spans="1:10" ht="16.5" x14ac:dyDescent="0.3">
      <c r="A118" s="4" t="s">
        <v>162</v>
      </c>
      <c r="B118" s="5">
        <v>45042</v>
      </c>
      <c r="C118" s="6" t="s">
        <v>27</v>
      </c>
      <c r="D118" s="6" t="s">
        <v>21</v>
      </c>
      <c r="E118" s="6" t="s">
        <v>69</v>
      </c>
      <c r="F118" s="6" t="s">
        <v>34</v>
      </c>
      <c r="G118" s="6">
        <v>4</v>
      </c>
      <c r="H118" s="7">
        <v>95</v>
      </c>
      <c r="I118" s="8">
        <v>0.1</v>
      </c>
      <c r="J118" s="9">
        <v>342</v>
      </c>
    </row>
    <row r="119" spans="1:10" ht="16.5" x14ac:dyDescent="0.3">
      <c r="A119" s="10" t="s">
        <v>163</v>
      </c>
      <c r="B119" s="11">
        <v>45084</v>
      </c>
      <c r="C119" s="12" t="s">
        <v>27</v>
      </c>
      <c r="D119" s="12" t="s">
        <v>21</v>
      </c>
      <c r="E119" s="12" t="s">
        <v>69</v>
      </c>
      <c r="F119" s="12" t="s">
        <v>37</v>
      </c>
      <c r="G119" s="12">
        <v>2</v>
      </c>
      <c r="H119" s="13">
        <v>95</v>
      </c>
      <c r="I119" s="14">
        <v>0</v>
      </c>
      <c r="J119" s="15">
        <v>190</v>
      </c>
    </row>
    <row r="120" spans="1:10" ht="16.5" x14ac:dyDescent="0.3">
      <c r="A120" s="4" t="s">
        <v>164</v>
      </c>
      <c r="B120" s="5">
        <v>45133</v>
      </c>
      <c r="C120" s="6" t="s">
        <v>20</v>
      </c>
      <c r="D120" s="6" t="s">
        <v>28</v>
      </c>
      <c r="E120" s="6" t="s">
        <v>45</v>
      </c>
      <c r="F120" s="6" t="s">
        <v>48</v>
      </c>
      <c r="G120" s="6">
        <v>10</v>
      </c>
      <c r="H120" s="7">
        <v>6</v>
      </c>
      <c r="I120" s="8">
        <v>0.15</v>
      </c>
      <c r="J120" s="9">
        <v>51</v>
      </c>
    </row>
    <row r="121" spans="1:10" ht="16.5" x14ac:dyDescent="0.3">
      <c r="A121" s="10" t="s">
        <v>165</v>
      </c>
      <c r="B121" s="11">
        <v>44947</v>
      </c>
      <c r="C121" s="12" t="s">
        <v>16</v>
      </c>
      <c r="D121" s="12" t="s">
        <v>28</v>
      </c>
      <c r="E121" s="12" t="s">
        <v>36</v>
      </c>
      <c r="F121" s="12" t="s">
        <v>48</v>
      </c>
      <c r="G121" s="12">
        <v>3</v>
      </c>
      <c r="H121" s="13">
        <v>5</v>
      </c>
      <c r="I121" s="14">
        <v>0.1</v>
      </c>
      <c r="J121" s="15">
        <v>13.5</v>
      </c>
    </row>
    <row r="122" spans="1:10" ht="16.5" x14ac:dyDescent="0.3">
      <c r="A122" s="4" t="s">
        <v>166</v>
      </c>
      <c r="B122" s="5">
        <v>45272</v>
      </c>
      <c r="C122" s="6" t="s">
        <v>11</v>
      </c>
      <c r="D122" s="6" t="s">
        <v>24</v>
      </c>
      <c r="E122" s="6" t="s">
        <v>72</v>
      </c>
      <c r="F122" s="6" t="s">
        <v>18</v>
      </c>
      <c r="G122" s="6">
        <v>3</v>
      </c>
      <c r="H122" s="7">
        <v>620</v>
      </c>
      <c r="I122" s="8">
        <v>0</v>
      </c>
      <c r="J122" s="9">
        <v>1860</v>
      </c>
    </row>
    <row r="123" spans="1:10" ht="16.5" x14ac:dyDescent="0.3">
      <c r="A123" s="10" t="s">
        <v>167</v>
      </c>
      <c r="B123" s="11">
        <v>45260</v>
      </c>
      <c r="C123" s="12" t="s">
        <v>20</v>
      </c>
      <c r="D123" s="12" t="s">
        <v>12</v>
      </c>
      <c r="E123" s="12" t="s">
        <v>81</v>
      </c>
      <c r="F123" s="12" t="s">
        <v>57</v>
      </c>
      <c r="G123" s="12">
        <v>16</v>
      </c>
      <c r="H123" s="13">
        <v>45</v>
      </c>
      <c r="I123" s="14">
        <v>0.1</v>
      </c>
      <c r="J123" s="15">
        <v>648</v>
      </c>
    </row>
    <row r="124" spans="1:10" ht="16.5" x14ac:dyDescent="0.3">
      <c r="A124" s="4" t="s">
        <v>168</v>
      </c>
      <c r="B124" s="5">
        <v>45167</v>
      </c>
      <c r="C124" s="6" t="s">
        <v>27</v>
      </c>
      <c r="D124" s="6" t="s">
        <v>24</v>
      </c>
      <c r="E124" s="6" t="s">
        <v>72</v>
      </c>
      <c r="F124" s="6" t="s">
        <v>34</v>
      </c>
      <c r="G124" s="6">
        <v>16</v>
      </c>
      <c r="H124" s="7">
        <v>620</v>
      </c>
      <c r="I124" s="8">
        <v>0</v>
      </c>
      <c r="J124" s="9">
        <v>9920</v>
      </c>
    </row>
    <row r="125" spans="1:10" ht="16.5" x14ac:dyDescent="0.3">
      <c r="A125" s="10" t="s">
        <v>169</v>
      </c>
      <c r="B125" s="11">
        <v>45095</v>
      </c>
      <c r="C125" s="12" t="s">
        <v>11</v>
      </c>
      <c r="D125" s="12" t="s">
        <v>28</v>
      </c>
      <c r="E125" s="12" t="s">
        <v>45</v>
      </c>
      <c r="F125" s="12" t="s">
        <v>32</v>
      </c>
      <c r="G125" s="12">
        <v>4</v>
      </c>
      <c r="H125" s="13">
        <v>6</v>
      </c>
      <c r="I125" s="14">
        <v>0</v>
      </c>
      <c r="J125" s="15">
        <v>24</v>
      </c>
    </row>
    <row r="126" spans="1:10" ht="16.5" x14ac:dyDescent="0.3">
      <c r="A126" s="4" t="s">
        <v>170</v>
      </c>
      <c r="B126" s="5">
        <v>45159</v>
      </c>
      <c r="C126" s="6" t="s">
        <v>11</v>
      </c>
      <c r="D126" s="6" t="s">
        <v>24</v>
      </c>
      <c r="E126" s="6" t="s">
        <v>111</v>
      </c>
      <c r="F126" s="6" t="s">
        <v>34</v>
      </c>
      <c r="G126" s="6">
        <v>18</v>
      </c>
      <c r="H126" s="7">
        <v>450</v>
      </c>
      <c r="I126" s="8">
        <v>0</v>
      </c>
      <c r="J126" s="9">
        <v>8100</v>
      </c>
    </row>
    <row r="127" spans="1:10" ht="16.5" x14ac:dyDescent="0.3">
      <c r="A127" s="10" t="s">
        <v>171</v>
      </c>
      <c r="B127" s="11">
        <v>45190</v>
      </c>
      <c r="C127" s="12" t="s">
        <v>11</v>
      </c>
      <c r="D127" s="12" t="s">
        <v>12</v>
      </c>
      <c r="E127" s="12" t="s">
        <v>81</v>
      </c>
      <c r="F127" s="12" t="s">
        <v>32</v>
      </c>
      <c r="G127" s="12">
        <v>4</v>
      </c>
      <c r="H127" s="13">
        <v>45</v>
      </c>
      <c r="I127" s="14">
        <v>0.05</v>
      </c>
      <c r="J127" s="15">
        <v>171</v>
      </c>
    </row>
    <row r="128" spans="1:10" ht="16.5" x14ac:dyDescent="0.3">
      <c r="A128" s="4" t="s">
        <v>172</v>
      </c>
      <c r="B128" s="5">
        <v>45192</v>
      </c>
      <c r="C128" s="6" t="s">
        <v>16</v>
      </c>
      <c r="D128" s="6" t="s">
        <v>12</v>
      </c>
      <c r="E128" s="6" t="s">
        <v>17</v>
      </c>
      <c r="F128" s="6" t="s">
        <v>34</v>
      </c>
      <c r="G128" s="6">
        <v>2</v>
      </c>
      <c r="H128" s="7">
        <v>55</v>
      </c>
      <c r="I128" s="8">
        <v>0</v>
      </c>
      <c r="J128" s="9">
        <v>110</v>
      </c>
    </row>
    <row r="129" spans="1:10" ht="16.5" x14ac:dyDescent="0.3">
      <c r="A129" s="10" t="s">
        <v>173</v>
      </c>
      <c r="B129" s="11">
        <v>45063</v>
      </c>
      <c r="C129" s="12" t="s">
        <v>16</v>
      </c>
      <c r="D129" s="12" t="s">
        <v>28</v>
      </c>
      <c r="E129" s="12" t="s">
        <v>36</v>
      </c>
      <c r="F129" s="12" t="s">
        <v>48</v>
      </c>
      <c r="G129" s="12">
        <v>2</v>
      </c>
      <c r="H129" s="13">
        <v>5</v>
      </c>
      <c r="I129" s="14">
        <v>0</v>
      </c>
      <c r="J129" s="15">
        <v>10</v>
      </c>
    </row>
    <row r="130" spans="1:10" ht="16.5" x14ac:dyDescent="0.3">
      <c r="A130" s="4" t="s">
        <v>174</v>
      </c>
      <c r="B130" s="5">
        <v>45249</v>
      </c>
      <c r="C130" s="6" t="s">
        <v>16</v>
      </c>
      <c r="D130" s="6" t="s">
        <v>21</v>
      </c>
      <c r="E130" s="6" t="s">
        <v>69</v>
      </c>
      <c r="F130" s="6" t="s">
        <v>48</v>
      </c>
      <c r="G130" s="6">
        <v>4</v>
      </c>
      <c r="H130" s="7">
        <v>95</v>
      </c>
      <c r="I130" s="8">
        <v>0</v>
      </c>
      <c r="J130" s="9">
        <v>380</v>
      </c>
    </row>
    <row r="131" spans="1:10" ht="16.5" x14ac:dyDescent="0.3">
      <c r="A131" s="10" t="s">
        <v>175</v>
      </c>
      <c r="B131" s="11">
        <v>44974</v>
      </c>
      <c r="C131" s="12" t="s">
        <v>11</v>
      </c>
      <c r="D131" s="12" t="s">
        <v>21</v>
      </c>
      <c r="E131" s="12" t="s">
        <v>51</v>
      </c>
      <c r="F131" s="12" t="s">
        <v>18</v>
      </c>
      <c r="G131" s="12">
        <v>18</v>
      </c>
      <c r="H131" s="13">
        <v>180</v>
      </c>
      <c r="I131" s="14">
        <v>0.05</v>
      </c>
      <c r="J131" s="15">
        <v>3078</v>
      </c>
    </row>
    <row r="132" spans="1:10" ht="16.5" x14ac:dyDescent="0.3">
      <c r="A132" s="4" t="s">
        <v>176</v>
      </c>
      <c r="B132" s="5">
        <v>45076</v>
      </c>
      <c r="C132" s="6" t="s">
        <v>16</v>
      </c>
      <c r="D132" s="6" t="s">
        <v>21</v>
      </c>
      <c r="E132" s="6" t="s">
        <v>83</v>
      </c>
      <c r="F132" s="6" t="s">
        <v>37</v>
      </c>
      <c r="G132" s="6">
        <v>5</v>
      </c>
      <c r="H132" s="7">
        <v>250</v>
      </c>
      <c r="I132" s="8">
        <v>0.05</v>
      </c>
      <c r="J132" s="9">
        <v>1187.5</v>
      </c>
    </row>
    <row r="133" spans="1:10" ht="16.5" x14ac:dyDescent="0.3">
      <c r="A133" s="10" t="s">
        <v>177</v>
      </c>
      <c r="B133" s="11">
        <v>45209</v>
      </c>
      <c r="C133" s="12" t="s">
        <v>16</v>
      </c>
      <c r="D133" s="12" t="s">
        <v>28</v>
      </c>
      <c r="E133" s="12" t="s">
        <v>45</v>
      </c>
      <c r="F133" s="12" t="s">
        <v>48</v>
      </c>
      <c r="G133" s="12">
        <v>8</v>
      </c>
      <c r="H133" s="13">
        <v>6</v>
      </c>
      <c r="I133" s="14">
        <v>0.05</v>
      </c>
      <c r="J133" s="15">
        <v>45.6</v>
      </c>
    </row>
    <row r="134" spans="1:10" ht="16.5" x14ac:dyDescent="0.3">
      <c r="A134" s="4" t="s">
        <v>178</v>
      </c>
      <c r="B134" s="5">
        <v>45139</v>
      </c>
      <c r="C134" s="6" t="s">
        <v>27</v>
      </c>
      <c r="D134" s="6" t="s">
        <v>21</v>
      </c>
      <c r="E134" s="6" t="s">
        <v>47</v>
      </c>
      <c r="F134" s="6" t="s">
        <v>57</v>
      </c>
      <c r="G134" s="6">
        <v>3</v>
      </c>
      <c r="H134" s="7">
        <v>35</v>
      </c>
      <c r="I134" s="8">
        <v>0</v>
      </c>
      <c r="J134" s="9">
        <v>105</v>
      </c>
    </row>
    <row r="135" spans="1:10" ht="16.5" x14ac:dyDescent="0.3">
      <c r="A135" s="10" t="s">
        <v>179</v>
      </c>
      <c r="B135" s="11">
        <v>45079</v>
      </c>
      <c r="C135" s="12" t="s">
        <v>11</v>
      </c>
      <c r="D135" s="12" t="s">
        <v>28</v>
      </c>
      <c r="E135" s="12" t="s">
        <v>36</v>
      </c>
      <c r="F135" s="12" t="s">
        <v>18</v>
      </c>
      <c r="G135" s="12">
        <v>10</v>
      </c>
      <c r="H135" s="13">
        <v>5</v>
      </c>
      <c r="I135" s="14">
        <v>0.15</v>
      </c>
      <c r="J135" s="15">
        <v>42.5</v>
      </c>
    </row>
    <row r="136" spans="1:10" ht="16.5" x14ac:dyDescent="0.3">
      <c r="A136" s="4" t="s">
        <v>180</v>
      </c>
      <c r="B136" s="5">
        <v>45209</v>
      </c>
      <c r="C136" s="6" t="s">
        <v>16</v>
      </c>
      <c r="D136" s="6" t="s">
        <v>24</v>
      </c>
      <c r="E136" s="6" t="s">
        <v>63</v>
      </c>
      <c r="F136" s="6" t="s">
        <v>48</v>
      </c>
      <c r="G136" s="6">
        <v>12</v>
      </c>
      <c r="H136" s="7">
        <v>350</v>
      </c>
      <c r="I136" s="8">
        <v>0</v>
      </c>
      <c r="J136" s="9">
        <v>4200</v>
      </c>
    </row>
    <row r="137" spans="1:10" ht="16.5" x14ac:dyDescent="0.3">
      <c r="A137" s="10" t="s">
        <v>181</v>
      </c>
      <c r="B137" s="11">
        <v>45123</v>
      </c>
      <c r="C137" s="12" t="s">
        <v>11</v>
      </c>
      <c r="D137" s="12" t="s">
        <v>24</v>
      </c>
      <c r="E137" s="12" t="s">
        <v>111</v>
      </c>
      <c r="F137" s="12" t="s">
        <v>14</v>
      </c>
      <c r="G137" s="12">
        <v>8</v>
      </c>
      <c r="H137" s="13">
        <v>450</v>
      </c>
      <c r="I137" s="14">
        <v>0.1</v>
      </c>
      <c r="J137" s="15">
        <v>3240</v>
      </c>
    </row>
    <row r="138" spans="1:10" ht="16.5" x14ac:dyDescent="0.3">
      <c r="A138" s="4" t="s">
        <v>182</v>
      </c>
      <c r="B138" s="5">
        <v>45122</v>
      </c>
      <c r="C138" s="6" t="s">
        <v>20</v>
      </c>
      <c r="D138" s="6" t="s">
        <v>21</v>
      </c>
      <c r="E138" s="6" t="s">
        <v>47</v>
      </c>
      <c r="F138" s="6" t="s">
        <v>32</v>
      </c>
      <c r="G138" s="6">
        <v>16</v>
      </c>
      <c r="H138" s="7">
        <v>35</v>
      </c>
      <c r="I138" s="8">
        <v>0.15</v>
      </c>
      <c r="J138" s="9">
        <v>476</v>
      </c>
    </row>
    <row r="139" spans="1:10" ht="16.5" x14ac:dyDescent="0.3">
      <c r="A139" s="10" t="s">
        <v>183</v>
      </c>
      <c r="B139" s="11">
        <v>45229</v>
      </c>
      <c r="C139" s="12" t="s">
        <v>16</v>
      </c>
      <c r="D139" s="12" t="s">
        <v>24</v>
      </c>
      <c r="E139" s="12" t="s">
        <v>63</v>
      </c>
      <c r="F139" s="12" t="s">
        <v>18</v>
      </c>
      <c r="G139" s="12">
        <v>5</v>
      </c>
      <c r="H139" s="13">
        <v>350</v>
      </c>
      <c r="I139" s="14">
        <v>0.1</v>
      </c>
      <c r="J139" s="15">
        <v>1575</v>
      </c>
    </row>
    <row r="140" spans="1:10" ht="16.5" x14ac:dyDescent="0.3">
      <c r="A140" s="4" t="s">
        <v>184</v>
      </c>
      <c r="B140" s="5">
        <v>44934</v>
      </c>
      <c r="C140" s="6" t="s">
        <v>16</v>
      </c>
      <c r="D140" s="6" t="s">
        <v>28</v>
      </c>
      <c r="E140" s="6" t="s">
        <v>39</v>
      </c>
      <c r="F140" s="6" t="s">
        <v>37</v>
      </c>
      <c r="G140" s="6">
        <v>17</v>
      </c>
      <c r="H140" s="7">
        <v>12</v>
      </c>
      <c r="I140" s="8">
        <v>0.05</v>
      </c>
      <c r="J140" s="9">
        <v>193.8</v>
      </c>
    </row>
    <row r="141" spans="1:10" ht="16.5" x14ac:dyDescent="0.3">
      <c r="A141" s="10" t="s">
        <v>185</v>
      </c>
      <c r="B141" s="11">
        <v>45100</v>
      </c>
      <c r="C141" s="12" t="s">
        <v>27</v>
      </c>
      <c r="D141" s="12" t="s">
        <v>21</v>
      </c>
      <c r="E141" s="12" t="s">
        <v>47</v>
      </c>
      <c r="F141" s="12" t="s">
        <v>37</v>
      </c>
      <c r="G141" s="12">
        <v>16</v>
      </c>
      <c r="H141" s="13">
        <v>35</v>
      </c>
      <c r="I141" s="14">
        <v>0</v>
      </c>
      <c r="J141" s="15">
        <v>560</v>
      </c>
    </row>
    <row r="142" spans="1:10" ht="16.5" x14ac:dyDescent="0.3">
      <c r="A142" s="4" t="s">
        <v>186</v>
      </c>
      <c r="B142" s="5">
        <v>45176</v>
      </c>
      <c r="C142" s="6" t="s">
        <v>11</v>
      </c>
      <c r="D142" s="6" t="s">
        <v>24</v>
      </c>
      <c r="E142" s="6" t="s">
        <v>31</v>
      </c>
      <c r="F142" s="6" t="s">
        <v>34</v>
      </c>
      <c r="G142" s="6">
        <v>11</v>
      </c>
      <c r="H142" s="7">
        <v>80</v>
      </c>
      <c r="I142" s="8">
        <v>0.15</v>
      </c>
      <c r="J142" s="9">
        <v>748</v>
      </c>
    </row>
    <row r="143" spans="1:10" ht="16.5" x14ac:dyDescent="0.3">
      <c r="A143" s="10" t="s">
        <v>187</v>
      </c>
      <c r="B143" s="11">
        <v>44973</v>
      </c>
      <c r="C143" s="12" t="s">
        <v>20</v>
      </c>
      <c r="D143" s="12" t="s">
        <v>12</v>
      </c>
      <c r="E143" s="12" t="s">
        <v>17</v>
      </c>
      <c r="F143" s="12" t="s">
        <v>14</v>
      </c>
      <c r="G143" s="12">
        <v>10</v>
      </c>
      <c r="H143" s="13">
        <v>55</v>
      </c>
      <c r="I143" s="14">
        <v>0</v>
      </c>
      <c r="J143" s="15">
        <v>550</v>
      </c>
    </row>
    <row r="144" spans="1:10" ht="16.5" x14ac:dyDescent="0.3">
      <c r="A144" s="4" t="s">
        <v>188</v>
      </c>
      <c r="B144" s="5">
        <v>45080</v>
      </c>
      <c r="C144" s="6" t="s">
        <v>20</v>
      </c>
      <c r="D144" s="6" t="s">
        <v>24</v>
      </c>
      <c r="E144" s="6" t="s">
        <v>31</v>
      </c>
      <c r="F144" s="6" t="s">
        <v>48</v>
      </c>
      <c r="G144" s="6">
        <v>6</v>
      </c>
      <c r="H144" s="7">
        <v>80</v>
      </c>
      <c r="I144" s="8">
        <v>0.15</v>
      </c>
      <c r="J144" s="9">
        <v>408</v>
      </c>
    </row>
    <row r="145" spans="1:10" ht="16.5" x14ac:dyDescent="0.3">
      <c r="A145" s="10" t="s">
        <v>189</v>
      </c>
      <c r="B145" s="11">
        <v>45118</v>
      </c>
      <c r="C145" s="12" t="s">
        <v>11</v>
      </c>
      <c r="D145" s="12" t="s">
        <v>12</v>
      </c>
      <c r="E145" s="12" t="s">
        <v>13</v>
      </c>
      <c r="F145" s="12" t="s">
        <v>18</v>
      </c>
      <c r="G145" s="12">
        <v>10</v>
      </c>
      <c r="H145" s="13">
        <v>1500</v>
      </c>
      <c r="I145" s="14">
        <v>0</v>
      </c>
      <c r="J145" s="15">
        <v>15000</v>
      </c>
    </row>
    <row r="146" spans="1:10" ht="16.5" x14ac:dyDescent="0.3">
      <c r="A146" s="4" t="s">
        <v>190</v>
      </c>
      <c r="B146" s="5">
        <v>45019</v>
      </c>
      <c r="C146" s="6" t="s">
        <v>27</v>
      </c>
      <c r="D146" s="6" t="s">
        <v>24</v>
      </c>
      <c r="E146" s="6" t="s">
        <v>63</v>
      </c>
      <c r="F146" s="6" t="s">
        <v>34</v>
      </c>
      <c r="G146" s="6">
        <v>19</v>
      </c>
      <c r="H146" s="7">
        <v>350</v>
      </c>
      <c r="I146" s="8">
        <v>0.15</v>
      </c>
      <c r="J146" s="9">
        <v>5652.5</v>
      </c>
    </row>
    <row r="147" spans="1:10" ht="16.5" x14ac:dyDescent="0.3">
      <c r="A147" s="10" t="s">
        <v>191</v>
      </c>
      <c r="B147" s="11">
        <v>45050</v>
      </c>
      <c r="C147" s="12" t="s">
        <v>20</v>
      </c>
      <c r="D147" s="12" t="s">
        <v>21</v>
      </c>
      <c r="E147" s="12" t="s">
        <v>51</v>
      </c>
      <c r="F147" s="12" t="s">
        <v>34</v>
      </c>
      <c r="G147" s="12">
        <v>20</v>
      </c>
      <c r="H147" s="13">
        <v>180</v>
      </c>
      <c r="I147" s="14">
        <v>0.15</v>
      </c>
      <c r="J147" s="15">
        <v>3060</v>
      </c>
    </row>
    <row r="148" spans="1:10" ht="16.5" x14ac:dyDescent="0.3">
      <c r="A148" s="4" t="s">
        <v>192</v>
      </c>
      <c r="B148" s="5">
        <v>45057</v>
      </c>
      <c r="C148" s="6" t="s">
        <v>27</v>
      </c>
      <c r="D148" s="6" t="s">
        <v>24</v>
      </c>
      <c r="E148" s="6" t="s">
        <v>25</v>
      </c>
      <c r="F148" s="6" t="s">
        <v>14</v>
      </c>
      <c r="G148" s="6">
        <v>15</v>
      </c>
      <c r="H148" s="7">
        <v>60</v>
      </c>
      <c r="I148" s="8">
        <v>0.15</v>
      </c>
      <c r="J148" s="9">
        <v>765</v>
      </c>
    </row>
    <row r="149" spans="1:10" ht="16.5" x14ac:dyDescent="0.3">
      <c r="A149" s="10" t="s">
        <v>193</v>
      </c>
      <c r="B149" s="11">
        <v>45206</v>
      </c>
      <c r="C149" s="12" t="s">
        <v>20</v>
      </c>
      <c r="D149" s="12" t="s">
        <v>24</v>
      </c>
      <c r="E149" s="12" t="s">
        <v>72</v>
      </c>
      <c r="F149" s="12" t="s">
        <v>48</v>
      </c>
      <c r="G149" s="12">
        <v>10</v>
      </c>
      <c r="H149" s="13">
        <v>620</v>
      </c>
      <c r="I149" s="14">
        <v>0.15</v>
      </c>
      <c r="J149" s="15">
        <v>5270</v>
      </c>
    </row>
    <row r="150" spans="1:10" ht="16.5" x14ac:dyDescent="0.3">
      <c r="A150" s="4" t="s">
        <v>194</v>
      </c>
      <c r="B150" s="5">
        <v>45254</v>
      </c>
      <c r="C150" s="6" t="s">
        <v>16</v>
      </c>
      <c r="D150" s="6" t="s">
        <v>21</v>
      </c>
      <c r="E150" s="6" t="s">
        <v>83</v>
      </c>
      <c r="F150" s="6" t="s">
        <v>32</v>
      </c>
      <c r="G150" s="6">
        <v>19</v>
      </c>
      <c r="H150" s="7">
        <v>250</v>
      </c>
      <c r="I150" s="8">
        <v>0</v>
      </c>
      <c r="J150" s="9">
        <v>4750</v>
      </c>
    </row>
    <row r="151" spans="1:10" ht="16.5" x14ac:dyDescent="0.3">
      <c r="A151" s="10" t="s">
        <v>195</v>
      </c>
      <c r="B151" s="11">
        <v>45174</v>
      </c>
      <c r="C151" s="12" t="s">
        <v>16</v>
      </c>
      <c r="D151" s="12" t="s">
        <v>24</v>
      </c>
      <c r="E151" s="12" t="s">
        <v>72</v>
      </c>
      <c r="F151" s="12" t="s">
        <v>64</v>
      </c>
      <c r="G151" s="12">
        <v>7</v>
      </c>
      <c r="H151" s="13">
        <v>620</v>
      </c>
      <c r="I151" s="14">
        <v>0.05</v>
      </c>
      <c r="J151" s="15">
        <v>4123</v>
      </c>
    </row>
    <row r="152" spans="1:10" ht="16.5" x14ac:dyDescent="0.3">
      <c r="A152" s="4" t="s">
        <v>196</v>
      </c>
      <c r="B152" s="5">
        <v>45285</v>
      </c>
      <c r="C152" s="6" t="s">
        <v>16</v>
      </c>
      <c r="D152" s="6" t="s">
        <v>12</v>
      </c>
      <c r="E152" s="6" t="s">
        <v>60</v>
      </c>
      <c r="F152" s="6" t="s">
        <v>32</v>
      </c>
      <c r="G152" s="6">
        <v>19</v>
      </c>
      <c r="H152" s="7">
        <v>450</v>
      </c>
      <c r="I152" s="8">
        <v>0</v>
      </c>
      <c r="J152" s="9">
        <v>8550</v>
      </c>
    </row>
    <row r="153" spans="1:10" ht="16.5" x14ac:dyDescent="0.3">
      <c r="A153" s="10" t="s">
        <v>197</v>
      </c>
      <c r="B153" s="11">
        <v>45278</v>
      </c>
      <c r="C153" s="12" t="s">
        <v>16</v>
      </c>
      <c r="D153" s="12" t="s">
        <v>28</v>
      </c>
      <c r="E153" s="12" t="s">
        <v>39</v>
      </c>
      <c r="F153" s="12" t="s">
        <v>64</v>
      </c>
      <c r="G153" s="12">
        <v>1</v>
      </c>
      <c r="H153" s="13">
        <v>12</v>
      </c>
      <c r="I153" s="14">
        <v>0.1</v>
      </c>
      <c r="J153" s="15">
        <v>10.8</v>
      </c>
    </row>
    <row r="154" spans="1:10" ht="16.5" x14ac:dyDescent="0.3">
      <c r="A154" s="4" t="s">
        <v>198</v>
      </c>
      <c r="B154" s="5">
        <v>45107</v>
      </c>
      <c r="C154" s="6" t="s">
        <v>16</v>
      </c>
      <c r="D154" s="6" t="s">
        <v>12</v>
      </c>
      <c r="E154" s="6" t="s">
        <v>17</v>
      </c>
      <c r="F154" s="6" t="s">
        <v>64</v>
      </c>
      <c r="G154" s="6">
        <v>8</v>
      </c>
      <c r="H154" s="7">
        <v>55</v>
      </c>
      <c r="I154" s="8">
        <v>0.1</v>
      </c>
      <c r="J154" s="9">
        <v>396</v>
      </c>
    </row>
    <row r="155" spans="1:10" ht="16.5" x14ac:dyDescent="0.3">
      <c r="A155" s="10" t="s">
        <v>199</v>
      </c>
      <c r="B155" s="11">
        <v>45257</v>
      </c>
      <c r="C155" s="12" t="s">
        <v>11</v>
      </c>
      <c r="D155" s="12" t="s">
        <v>21</v>
      </c>
      <c r="E155" s="12" t="s">
        <v>51</v>
      </c>
      <c r="F155" s="12" t="s">
        <v>57</v>
      </c>
      <c r="G155" s="12">
        <v>4</v>
      </c>
      <c r="H155" s="13">
        <v>180</v>
      </c>
      <c r="I155" s="14">
        <v>0.15</v>
      </c>
      <c r="J155" s="15">
        <v>612</v>
      </c>
    </row>
    <row r="156" spans="1:10" ht="16.5" x14ac:dyDescent="0.3">
      <c r="A156" s="4" t="s">
        <v>200</v>
      </c>
      <c r="B156" s="5">
        <v>44994</v>
      </c>
      <c r="C156" s="6" t="s">
        <v>16</v>
      </c>
      <c r="D156" s="6" t="s">
        <v>12</v>
      </c>
      <c r="E156" s="6" t="s">
        <v>81</v>
      </c>
      <c r="F156" s="6" t="s">
        <v>18</v>
      </c>
      <c r="G156" s="6">
        <v>19</v>
      </c>
      <c r="H156" s="7">
        <v>45</v>
      </c>
      <c r="I156" s="8">
        <v>0</v>
      </c>
      <c r="J156" s="9">
        <v>855</v>
      </c>
    </row>
    <row r="157" spans="1:10" ht="16.5" x14ac:dyDescent="0.3">
      <c r="A157" s="10" t="s">
        <v>201</v>
      </c>
      <c r="B157" s="11">
        <v>44994</v>
      </c>
      <c r="C157" s="12" t="s">
        <v>11</v>
      </c>
      <c r="D157" s="12" t="s">
        <v>12</v>
      </c>
      <c r="E157" s="12" t="s">
        <v>81</v>
      </c>
      <c r="F157" s="12" t="s">
        <v>34</v>
      </c>
      <c r="G157" s="12">
        <v>6</v>
      </c>
      <c r="H157" s="13">
        <v>45</v>
      </c>
      <c r="I157" s="14">
        <v>0</v>
      </c>
      <c r="J157" s="15">
        <v>270</v>
      </c>
    </row>
    <row r="158" spans="1:10" ht="16.5" x14ac:dyDescent="0.3">
      <c r="A158" s="4" t="s">
        <v>202</v>
      </c>
      <c r="B158" s="5">
        <v>45078</v>
      </c>
      <c r="C158" s="6" t="s">
        <v>11</v>
      </c>
      <c r="D158" s="6" t="s">
        <v>28</v>
      </c>
      <c r="E158" s="6" t="s">
        <v>36</v>
      </c>
      <c r="F158" s="6" t="s">
        <v>57</v>
      </c>
      <c r="G158" s="6">
        <v>9</v>
      </c>
      <c r="H158" s="7">
        <v>5</v>
      </c>
      <c r="I158" s="8">
        <v>0.05</v>
      </c>
      <c r="J158" s="9">
        <v>42.75</v>
      </c>
    </row>
    <row r="159" spans="1:10" ht="16.5" x14ac:dyDescent="0.3">
      <c r="A159" s="10" t="s">
        <v>203</v>
      </c>
      <c r="B159" s="11">
        <v>45273</v>
      </c>
      <c r="C159" s="12" t="s">
        <v>16</v>
      </c>
      <c r="D159" s="12" t="s">
        <v>28</v>
      </c>
      <c r="E159" s="12" t="s">
        <v>39</v>
      </c>
      <c r="F159" s="12" t="s">
        <v>37</v>
      </c>
      <c r="G159" s="12">
        <v>5</v>
      </c>
      <c r="H159" s="13">
        <v>12</v>
      </c>
      <c r="I159" s="14">
        <v>0</v>
      </c>
      <c r="J159" s="15">
        <v>60</v>
      </c>
    </row>
    <row r="160" spans="1:10" ht="16.5" x14ac:dyDescent="0.3">
      <c r="A160" s="4" t="s">
        <v>204</v>
      </c>
      <c r="B160" s="5">
        <v>45062</v>
      </c>
      <c r="C160" s="6" t="s">
        <v>11</v>
      </c>
      <c r="D160" s="6" t="s">
        <v>24</v>
      </c>
      <c r="E160" s="6" t="s">
        <v>25</v>
      </c>
      <c r="F160" s="6" t="s">
        <v>37</v>
      </c>
      <c r="G160" s="6">
        <v>13</v>
      </c>
      <c r="H160" s="7">
        <v>60</v>
      </c>
      <c r="I160" s="8">
        <v>0</v>
      </c>
      <c r="J160" s="9">
        <v>780</v>
      </c>
    </row>
    <row r="161" spans="1:10" ht="16.5" x14ac:dyDescent="0.3">
      <c r="A161" s="10" t="s">
        <v>205</v>
      </c>
      <c r="B161" s="11">
        <v>45253</v>
      </c>
      <c r="C161" s="12" t="s">
        <v>11</v>
      </c>
      <c r="D161" s="12" t="s">
        <v>12</v>
      </c>
      <c r="E161" s="12" t="s">
        <v>86</v>
      </c>
      <c r="F161" s="12" t="s">
        <v>64</v>
      </c>
      <c r="G161" s="12">
        <v>19</v>
      </c>
      <c r="H161" s="13">
        <v>80</v>
      </c>
      <c r="I161" s="14">
        <v>0.05</v>
      </c>
      <c r="J161" s="15">
        <v>1444</v>
      </c>
    </row>
    <row r="162" spans="1:10" ht="16.5" x14ac:dyDescent="0.3">
      <c r="A162" s="4" t="s">
        <v>206</v>
      </c>
      <c r="B162" s="5">
        <v>45214</v>
      </c>
      <c r="C162" s="6" t="s">
        <v>27</v>
      </c>
      <c r="D162" s="6" t="s">
        <v>28</v>
      </c>
      <c r="E162" s="6" t="s">
        <v>39</v>
      </c>
      <c r="F162" s="6" t="s">
        <v>48</v>
      </c>
      <c r="G162" s="6">
        <v>1</v>
      </c>
      <c r="H162" s="7">
        <v>12</v>
      </c>
      <c r="I162" s="8">
        <v>0.1</v>
      </c>
      <c r="J162" s="9">
        <v>10.8</v>
      </c>
    </row>
    <row r="163" spans="1:10" ht="16.5" x14ac:dyDescent="0.3">
      <c r="A163" s="10" t="s">
        <v>207</v>
      </c>
      <c r="B163" s="11">
        <v>45081</v>
      </c>
      <c r="C163" s="12" t="s">
        <v>27</v>
      </c>
      <c r="D163" s="12" t="s">
        <v>28</v>
      </c>
      <c r="E163" s="12" t="s">
        <v>36</v>
      </c>
      <c r="F163" s="12" t="s">
        <v>37</v>
      </c>
      <c r="G163" s="12">
        <v>15</v>
      </c>
      <c r="H163" s="13">
        <v>5</v>
      </c>
      <c r="I163" s="14">
        <v>0.15</v>
      </c>
      <c r="J163" s="15">
        <v>63.75</v>
      </c>
    </row>
    <row r="164" spans="1:10" ht="16.5" x14ac:dyDescent="0.3">
      <c r="A164" s="4" t="s">
        <v>208</v>
      </c>
      <c r="B164" s="5">
        <v>45179</v>
      </c>
      <c r="C164" s="6" t="s">
        <v>27</v>
      </c>
      <c r="D164" s="6" t="s">
        <v>24</v>
      </c>
      <c r="E164" s="6" t="s">
        <v>31</v>
      </c>
      <c r="F164" s="6" t="s">
        <v>18</v>
      </c>
      <c r="G164" s="6">
        <v>2</v>
      </c>
      <c r="H164" s="7">
        <v>80</v>
      </c>
      <c r="I164" s="8">
        <v>0</v>
      </c>
      <c r="J164" s="9">
        <v>160</v>
      </c>
    </row>
    <row r="165" spans="1:10" ht="16.5" x14ac:dyDescent="0.3">
      <c r="A165" s="10" t="s">
        <v>209</v>
      </c>
      <c r="B165" s="11">
        <v>45116</v>
      </c>
      <c r="C165" s="12" t="s">
        <v>27</v>
      </c>
      <c r="D165" s="12" t="s">
        <v>12</v>
      </c>
      <c r="E165" s="12" t="s">
        <v>13</v>
      </c>
      <c r="F165" s="12" t="s">
        <v>57</v>
      </c>
      <c r="G165" s="12">
        <v>13</v>
      </c>
      <c r="H165" s="13">
        <v>1500</v>
      </c>
      <c r="I165" s="14">
        <v>0.05</v>
      </c>
      <c r="J165" s="15">
        <v>18525</v>
      </c>
    </row>
    <row r="166" spans="1:10" ht="16.5" x14ac:dyDescent="0.3">
      <c r="A166" s="4" t="s">
        <v>210</v>
      </c>
      <c r="B166" s="5">
        <v>45242</v>
      </c>
      <c r="C166" s="6" t="s">
        <v>27</v>
      </c>
      <c r="D166" s="6" t="s">
        <v>24</v>
      </c>
      <c r="E166" s="6" t="s">
        <v>25</v>
      </c>
      <c r="F166" s="6" t="s">
        <v>34</v>
      </c>
      <c r="G166" s="6">
        <v>4</v>
      </c>
      <c r="H166" s="7">
        <v>60</v>
      </c>
      <c r="I166" s="8">
        <v>0.05</v>
      </c>
      <c r="J166" s="9">
        <v>228</v>
      </c>
    </row>
    <row r="167" spans="1:10" ht="16.5" x14ac:dyDescent="0.3">
      <c r="A167" s="10" t="s">
        <v>211</v>
      </c>
      <c r="B167" s="11">
        <v>45154</v>
      </c>
      <c r="C167" s="12" t="s">
        <v>20</v>
      </c>
      <c r="D167" s="12" t="s">
        <v>24</v>
      </c>
      <c r="E167" s="12" t="s">
        <v>72</v>
      </c>
      <c r="F167" s="12" t="s">
        <v>32</v>
      </c>
      <c r="G167" s="12">
        <v>7</v>
      </c>
      <c r="H167" s="13">
        <v>620</v>
      </c>
      <c r="I167" s="14">
        <v>0.05</v>
      </c>
      <c r="J167" s="15">
        <v>4123</v>
      </c>
    </row>
    <row r="168" spans="1:10" ht="16.5" x14ac:dyDescent="0.3">
      <c r="A168" s="4" t="s">
        <v>212</v>
      </c>
      <c r="B168" s="5">
        <v>45110</v>
      </c>
      <c r="C168" s="6" t="s">
        <v>20</v>
      </c>
      <c r="D168" s="6" t="s">
        <v>21</v>
      </c>
      <c r="E168" s="6" t="s">
        <v>69</v>
      </c>
      <c r="F168" s="6" t="s">
        <v>32</v>
      </c>
      <c r="G168" s="6">
        <v>18</v>
      </c>
      <c r="H168" s="7">
        <v>95</v>
      </c>
      <c r="I168" s="8">
        <v>0.15</v>
      </c>
      <c r="J168" s="9">
        <v>1453.5</v>
      </c>
    </row>
    <row r="169" spans="1:10" ht="16.5" x14ac:dyDescent="0.3">
      <c r="A169" s="10" t="s">
        <v>213</v>
      </c>
      <c r="B169" s="11">
        <v>44973</v>
      </c>
      <c r="C169" s="12" t="s">
        <v>11</v>
      </c>
      <c r="D169" s="12" t="s">
        <v>12</v>
      </c>
      <c r="E169" s="12" t="s">
        <v>86</v>
      </c>
      <c r="F169" s="12" t="s">
        <v>14</v>
      </c>
      <c r="G169" s="12">
        <v>4</v>
      </c>
      <c r="H169" s="13">
        <v>80</v>
      </c>
      <c r="I169" s="14">
        <v>0.05</v>
      </c>
      <c r="J169" s="15">
        <v>304</v>
      </c>
    </row>
    <row r="170" spans="1:10" ht="16.5" x14ac:dyDescent="0.3">
      <c r="A170" s="4" t="s">
        <v>214</v>
      </c>
      <c r="B170" s="5">
        <v>44991</v>
      </c>
      <c r="C170" s="6" t="s">
        <v>20</v>
      </c>
      <c r="D170" s="6" t="s">
        <v>21</v>
      </c>
      <c r="E170" s="6" t="s">
        <v>22</v>
      </c>
      <c r="F170" s="6" t="s">
        <v>18</v>
      </c>
      <c r="G170" s="6">
        <v>11</v>
      </c>
      <c r="H170" s="7">
        <v>220</v>
      </c>
      <c r="I170" s="8">
        <v>0</v>
      </c>
      <c r="J170" s="9">
        <v>2420</v>
      </c>
    </row>
    <row r="171" spans="1:10" ht="16.5" x14ac:dyDescent="0.3">
      <c r="A171" s="10" t="s">
        <v>215</v>
      </c>
      <c r="B171" s="11">
        <v>45002</v>
      </c>
      <c r="C171" s="12" t="s">
        <v>27</v>
      </c>
      <c r="D171" s="12" t="s">
        <v>21</v>
      </c>
      <c r="E171" s="12" t="s">
        <v>83</v>
      </c>
      <c r="F171" s="12" t="s">
        <v>14</v>
      </c>
      <c r="G171" s="12">
        <v>8</v>
      </c>
      <c r="H171" s="13">
        <v>250</v>
      </c>
      <c r="I171" s="14">
        <v>0</v>
      </c>
      <c r="J171" s="15">
        <v>2000</v>
      </c>
    </row>
    <row r="172" spans="1:10" ht="16.5" x14ac:dyDescent="0.3">
      <c r="A172" s="4" t="s">
        <v>216</v>
      </c>
      <c r="B172" s="5">
        <v>45016</v>
      </c>
      <c r="C172" s="6" t="s">
        <v>27</v>
      </c>
      <c r="D172" s="6" t="s">
        <v>12</v>
      </c>
      <c r="E172" s="6" t="s">
        <v>81</v>
      </c>
      <c r="F172" s="6" t="s">
        <v>57</v>
      </c>
      <c r="G172" s="6">
        <v>18</v>
      </c>
      <c r="H172" s="7">
        <v>45</v>
      </c>
      <c r="I172" s="8">
        <v>0</v>
      </c>
      <c r="J172" s="9">
        <v>810</v>
      </c>
    </row>
    <row r="173" spans="1:10" ht="16.5" x14ac:dyDescent="0.3">
      <c r="A173" s="10" t="s">
        <v>217</v>
      </c>
      <c r="B173" s="11">
        <v>45228</v>
      </c>
      <c r="C173" s="12" t="s">
        <v>27</v>
      </c>
      <c r="D173" s="12" t="s">
        <v>12</v>
      </c>
      <c r="E173" s="12" t="s">
        <v>13</v>
      </c>
      <c r="F173" s="12" t="s">
        <v>18</v>
      </c>
      <c r="G173" s="12">
        <v>12</v>
      </c>
      <c r="H173" s="13">
        <v>1500</v>
      </c>
      <c r="I173" s="14">
        <v>0</v>
      </c>
      <c r="J173" s="15">
        <v>18000</v>
      </c>
    </row>
    <row r="174" spans="1:10" ht="16.5" x14ac:dyDescent="0.3">
      <c r="A174" s="4" t="s">
        <v>218</v>
      </c>
      <c r="B174" s="5">
        <v>45142</v>
      </c>
      <c r="C174" s="6" t="s">
        <v>27</v>
      </c>
      <c r="D174" s="6" t="s">
        <v>28</v>
      </c>
      <c r="E174" s="6" t="s">
        <v>39</v>
      </c>
      <c r="F174" s="6" t="s">
        <v>64</v>
      </c>
      <c r="G174" s="6">
        <v>2</v>
      </c>
      <c r="H174" s="7">
        <v>12</v>
      </c>
      <c r="I174" s="8">
        <v>0</v>
      </c>
      <c r="J174" s="9">
        <v>24</v>
      </c>
    </row>
    <row r="175" spans="1:10" ht="16.5" x14ac:dyDescent="0.3">
      <c r="A175" s="10" t="s">
        <v>219</v>
      </c>
      <c r="B175" s="11">
        <v>45230</v>
      </c>
      <c r="C175" s="12" t="s">
        <v>16</v>
      </c>
      <c r="D175" s="12" t="s">
        <v>12</v>
      </c>
      <c r="E175" s="12" t="s">
        <v>13</v>
      </c>
      <c r="F175" s="12" t="s">
        <v>48</v>
      </c>
      <c r="G175" s="12">
        <v>12</v>
      </c>
      <c r="H175" s="13">
        <v>1500</v>
      </c>
      <c r="I175" s="14">
        <v>0.1</v>
      </c>
      <c r="J175" s="15">
        <v>16200</v>
      </c>
    </row>
    <row r="176" spans="1:10" ht="16.5" x14ac:dyDescent="0.3">
      <c r="A176" s="4" t="s">
        <v>220</v>
      </c>
      <c r="B176" s="5">
        <v>45161</v>
      </c>
      <c r="C176" s="6" t="s">
        <v>27</v>
      </c>
      <c r="D176" s="6" t="s">
        <v>12</v>
      </c>
      <c r="E176" s="6" t="s">
        <v>86</v>
      </c>
      <c r="F176" s="6" t="s">
        <v>18</v>
      </c>
      <c r="G176" s="6">
        <v>17</v>
      </c>
      <c r="H176" s="7">
        <v>80</v>
      </c>
      <c r="I176" s="8">
        <v>0</v>
      </c>
      <c r="J176" s="9">
        <v>1360</v>
      </c>
    </row>
    <row r="177" spans="1:10" ht="16.5" x14ac:dyDescent="0.3">
      <c r="A177" s="10" t="s">
        <v>221</v>
      </c>
      <c r="B177" s="11">
        <v>44982</v>
      </c>
      <c r="C177" s="12" t="s">
        <v>16</v>
      </c>
      <c r="D177" s="12" t="s">
        <v>12</v>
      </c>
      <c r="E177" s="12" t="s">
        <v>13</v>
      </c>
      <c r="F177" s="12" t="s">
        <v>34</v>
      </c>
      <c r="G177" s="12">
        <v>14</v>
      </c>
      <c r="H177" s="13">
        <v>1500</v>
      </c>
      <c r="I177" s="14">
        <v>0.15</v>
      </c>
      <c r="J177" s="15">
        <v>17850</v>
      </c>
    </row>
    <row r="178" spans="1:10" ht="16.5" x14ac:dyDescent="0.3">
      <c r="A178" s="4" t="s">
        <v>222</v>
      </c>
      <c r="B178" s="5">
        <v>45002</v>
      </c>
      <c r="C178" s="6" t="s">
        <v>20</v>
      </c>
      <c r="D178" s="6" t="s">
        <v>24</v>
      </c>
      <c r="E178" s="6" t="s">
        <v>111</v>
      </c>
      <c r="F178" s="6" t="s">
        <v>37</v>
      </c>
      <c r="G178" s="6">
        <v>11</v>
      </c>
      <c r="H178" s="7">
        <v>450</v>
      </c>
      <c r="I178" s="8">
        <v>0.1</v>
      </c>
      <c r="J178" s="9">
        <v>4455</v>
      </c>
    </row>
    <row r="179" spans="1:10" ht="16.5" x14ac:dyDescent="0.3">
      <c r="A179" s="10" t="s">
        <v>223</v>
      </c>
      <c r="B179" s="11">
        <v>45198</v>
      </c>
      <c r="C179" s="12" t="s">
        <v>11</v>
      </c>
      <c r="D179" s="12" t="s">
        <v>12</v>
      </c>
      <c r="E179" s="12" t="s">
        <v>60</v>
      </c>
      <c r="F179" s="12" t="s">
        <v>32</v>
      </c>
      <c r="G179" s="12">
        <v>13</v>
      </c>
      <c r="H179" s="13">
        <v>450</v>
      </c>
      <c r="I179" s="14">
        <v>0.1</v>
      </c>
      <c r="J179" s="15">
        <v>5265</v>
      </c>
    </row>
    <row r="180" spans="1:10" ht="16.5" x14ac:dyDescent="0.3">
      <c r="A180" s="4" t="s">
        <v>224</v>
      </c>
      <c r="B180" s="5">
        <v>45260</v>
      </c>
      <c r="C180" s="6" t="s">
        <v>16</v>
      </c>
      <c r="D180" s="6" t="s">
        <v>28</v>
      </c>
      <c r="E180" s="6" t="s">
        <v>45</v>
      </c>
      <c r="F180" s="6" t="s">
        <v>37</v>
      </c>
      <c r="G180" s="6">
        <v>4</v>
      </c>
      <c r="H180" s="7">
        <v>6</v>
      </c>
      <c r="I180" s="8">
        <v>0.15</v>
      </c>
      <c r="J180" s="9">
        <v>20.399999999999999</v>
      </c>
    </row>
    <row r="181" spans="1:10" ht="16.5" x14ac:dyDescent="0.3">
      <c r="A181" s="10" t="s">
        <v>225</v>
      </c>
      <c r="B181" s="11">
        <v>45159</v>
      </c>
      <c r="C181" s="12" t="s">
        <v>16</v>
      </c>
      <c r="D181" s="12" t="s">
        <v>21</v>
      </c>
      <c r="E181" s="12" t="s">
        <v>47</v>
      </c>
      <c r="F181" s="12" t="s">
        <v>14</v>
      </c>
      <c r="G181" s="12">
        <v>14</v>
      </c>
      <c r="H181" s="13">
        <v>35</v>
      </c>
      <c r="I181" s="14">
        <v>0</v>
      </c>
      <c r="J181" s="15">
        <v>490</v>
      </c>
    </row>
    <row r="182" spans="1:10" ht="16.5" x14ac:dyDescent="0.3">
      <c r="A182" s="4" t="s">
        <v>226</v>
      </c>
      <c r="B182" s="5">
        <v>45267</v>
      </c>
      <c r="C182" s="6" t="s">
        <v>20</v>
      </c>
      <c r="D182" s="6" t="s">
        <v>24</v>
      </c>
      <c r="E182" s="6" t="s">
        <v>111</v>
      </c>
      <c r="F182" s="6" t="s">
        <v>32</v>
      </c>
      <c r="G182" s="6">
        <v>14</v>
      </c>
      <c r="H182" s="7">
        <v>450</v>
      </c>
      <c r="I182" s="8">
        <v>0</v>
      </c>
      <c r="J182" s="9">
        <v>6300</v>
      </c>
    </row>
    <row r="183" spans="1:10" ht="16.5" x14ac:dyDescent="0.3">
      <c r="A183" s="10" t="s">
        <v>227</v>
      </c>
      <c r="B183" s="11">
        <v>44970</v>
      </c>
      <c r="C183" s="12" t="s">
        <v>27</v>
      </c>
      <c r="D183" s="12" t="s">
        <v>28</v>
      </c>
      <c r="E183" s="12" t="s">
        <v>29</v>
      </c>
      <c r="F183" s="12" t="s">
        <v>48</v>
      </c>
      <c r="G183" s="12">
        <v>3</v>
      </c>
      <c r="H183" s="13">
        <v>25</v>
      </c>
      <c r="I183" s="14">
        <v>0</v>
      </c>
      <c r="J183" s="15">
        <v>75</v>
      </c>
    </row>
    <row r="184" spans="1:10" ht="16.5" x14ac:dyDescent="0.3">
      <c r="A184" s="4" t="s">
        <v>228</v>
      </c>
      <c r="B184" s="5">
        <v>44957</v>
      </c>
      <c r="C184" s="6" t="s">
        <v>20</v>
      </c>
      <c r="D184" s="6" t="s">
        <v>12</v>
      </c>
      <c r="E184" s="6" t="s">
        <v>86</v>
      </c>
      <c r="F184" s="6" t="s">
        <v>32</v>
      </c>
      <c r="G184" s="6">
        <v>5</v>
      </c>
      <c r="H184" s="7">
        <v>80</v>
      </c>
      <c r="I184" s="8">
        <v>0.1</v>
      </c>
      <c r="J184" s="9">
        <v>360</v>
      </c>
    </row>
    <row r="185" spans="1:10" ht="16.5" x14ac:dyDescent="0.3">
      <c r="A185" s="10" t="s">
        <v>229</v>
      </c>
      <c r="B185" s="11">
        <v>44953</v>
      </c>
      <c r="C185" s="12" t="s">
        <v>16</v>
      </c>
      <c r="D185" s="12" t="s">
        <v>28</v>
      </c>
      <c r="E185" s="12" t="s">
        <v>39</v>
      </c>
      <c r="F185" s="12" t="s">
        <v>32</v>
      </c>
      <c r="G185" s="12">
        <v>14</v>
      </c>
      <c r="H185" s="13">
        <v>12</v>
      </c>
      <c r="I185" s="14">
        <v>0.15</v>
      </c>
      <c r="J185" s="15">
        <v>142.80000000000001</v>
      </c>
    </row>
    <row r="186" spans="1:10" ht="16.5" x14ac:dyDescent="0.3">
      <c r="A186" s="4" t="s">
        <v>230</v>
      </c>
      <c r="B186" s="5">
        <v>45186</v>
      </c>
      <c r="C186" s="6" t="s">
        <v>11</v>
      </c>
      <c r="D186" s="6" t="s">
        <v>28</v>
      </c>
      <c r="E186" s="6" t="s">
        <v>36</v>
      </c>
      <c r="F186" s="6" t="s">
        <v>32</v>
      </c>
      <c r="G186" s="6">
        <v>4</v>
      </c>
      <c r="H186" s="7">
        <v>5</v>
      </c>
      <c r="I186" s="8">
        <v>0.1</v>
      </c>
      <c r="J186" s="9">
        <v>18</v>
      </c>
    </row>
    <row r="187" spans="1:10" ht="16.5" x14ac:dyDescent="0.3">
      <c r="A187" s="10" t="s">
        <v>231</v>
      </c>
      <c r="B187" s="11">
        <v>45211</v>
      </c>
      <c r="C187" s="12" t="s">
        <v>16</v>
      </c>
      <c r="D187" s="12" t="s">
        <v>21</v>
      </c>
      <c r="E187" s="12" t="s">
        <v>51</v>
      </c>
      <c r="F187" s="12" t="s">
        <v>14</v>
      </c>
      <c r="G187" s="12">
        <v>4</v>
      </c>
      <c r="H187" s="13">
        <v>180</v>
      </c>
      <c r="I187" s="14">
        <v>0</v>
      </c>
      <c r="J187" s="15">
        <v>720</v>
      </c>
    </row>
    <row r="188" spans="1:10" ht="16.5" x14ac:dyDescent="0.3">
      <c r="A188" s="4" t="s">
        <v>232</v>
      </c>
      <c r="B188" s="5">
        <v>45245</v>
      </c>
      <c r="C188" s="6" t="s">
        <v>11</v>
      </c>
      <c r="D188" s="6" t="s">
        <v>28</v>
      </c>
      <c r="E188" s="6" t="s">
        <v>39</v>
      </c>
      <c r="F188" s="6" t="s">
        <v>14</v>
      </c>
      <c r="G188" s="6">
        <v>14</v>
      </c>
      <c r="H188" s="7">
        <v>12</v>
      </c>
      <c r="I188" s="8">
        <v>0.1</v>
      </c>
      <c r="J188" s="9">
        <v>151.19999999999999</v>
      </c>
    </row>
    <row r="189" spans="1:10" ht="16.5" x14ac:dyDescent="0.3">
      <c r="A189" s="10" t="s">
        <v>233</v>
      </c>
      <c r="B189" s="11">
        <v>45286</v>
      </c>
      <c r="C189" s="12" t="s">
        <v>11</v>
      </c>
      <c r="D189" s="12" t="s">
        <v>12</v>
      </c>
      <c r="E189" s="12" t="s">
        <v>17</v>
      </c>
      <c r="F189" s="12" t="s">
        <v>18</v>
      </c>
      <c r="G189" s="12">
        <v>6</v>
      </c>
      <c r="H189" s="13">
        <v>55</v>
      </c>
      <c r="I189" s="14">
        <v>0</v>
      </c>
      <c r="J189" s="15">
        <v>330</v>
      </c>
    </row>
    <row r="190" spans="1:10" ht="16.5" x14ac:dyDescent="0.3">
      <c r="A190" s="4" t="s">
        <v>234</v>
      </c>
      <c r="B190" s="5">
        <v>45216</v>
      </c>
      <c r="C190" s="6" t="s">
        <v>11</v>
      </c>
      <c r="D190" s="6" t="s">
        <v>28</v>
      </c>
      <c r="E190" s="6" t="s">
        <v>29</v>
      </c>
      <c r="F190" s="6" t="s">
        <v>18</v>
      </c>
      <c r="G190" s="6">
        <v>6</v>
      </c>
      <c r="H190" s="7">
        <v>25</v>
      </c>
      <c r="I190" s="8">
        <v>0</v>
      </c>
      <c r="J190" s="9">
        <v>150</v>
      </c>
    </row>
    <row r="191" spans="1:10" ht="16.5" x14ac:dyDescent="0.3">
      <c r="A191" s="10" t="s">
        <v>235</v>
      </c>
      <c r="B191" s="11">
        <v>45198</v>
      </c>
      <c r="C191" s="12" t="s">
        <v>27</v>
      </c>
      <c r="D191" s="12" t="s">
        <v>24</v>
      </c>
      <c r="E191" s="12" t="s">
        <v>31</v>
      </c>
      <c r="F191" s="12" t="s">
        <v>18</v>
      </c>
      <c r="G191" s="12">
        <v>3</v>
      </c>
      <c r="H191" s="13">
        <v>80</v>
      </c>
      <c r="I191" s="14">
        <v>0.15</v>
      </c>
      <c r="J191" s="15">
        <v>204</v>
      </c>
    </row>
    <row r="192" spans="1:10" ht="16.5" x14ac:dyDescent="0.3">
      <c r="A192" s="4" t="s">
        <v>236</v>
      </c>
      <c r="B192" s="5">
        <v>45116</v>
      </c>
      <c r="C192" s="6" t="s">
        <v>16</v>
      </c>
      <c r="D192" s="6" t="s">
        <v>21</v>
      </c>
      <c r="E192" s="6" t="s">
        <v>47</v>
      </c>
      <c r="F192" s="6" t="s">
        <v>48</v>
      </c>
      <c r="G192" s="6">
        <v>11</v>
      </c>
      <c r="H192" s="7">
        <v>35</v>
      </c>
      <c r="I192" s="8">
        <v>0</v>
      </c>
      <c r="J192" s="9">
        <v>385</v>
      </c>
    </row>
    <row r="193" spans="1:10" ht="16.5" x14ac:dyDescent="0.3">
      <c r="A193" s="10" t="s">
        <v>237</v>
      </c>
      <c r="B193" s="11">
        <v>45243</v>
      </c>
      <c r="C193" s="12" t="s">
        <v>20</v>
      </c>
      <c r="D193" s="12" t="s">
        <v>28</v>
      </c>
      <c r="E193" s="12" t="s">
        <v>29</v>
      </c>
      <c r="F193" s="12" t="s">
        <v>18</v>
      </c>
      <c r="G193" s="12">
        <v>5</v>
      </c>
      <c r="H193" s="13">
        <v>25</v>
      </c>
      <c r="I193" s="14">
        <v>0</v>
      </c>
      <c r="J193" s="15">
        <v>125</v>
      </c>
    </row>
    <row r="194" spans="1:10" ht="16.5" x14ac:dyDescent="0.3">
      <c r="A194" s="4" t="s">
        <v>238</v>
      </c>
      <c r="B194" s="5">
        <v>45237</v>
      </c>
      <c r="C194" s="6" t="s">
        <v>11</v>
      </c>
      <c r="D194" s="6" t="s">
        <v>12</v>
      </c>
      <c r="E194" s="6" t="s">
        <v>13</v>
      </c>
      <c r="F194" s="6" t="s">
        <v>48</v>
      </c>
      <c r="G194" s="6">
        <v>14</v>
      </c>
      <c r="H194" s="7">
        <v>1500</v>
      </c>
      <c r="I194" s="8">
        <v>0.05</v>
      </c>
      <c r="J194" s="9">
        <v>19950</v>
      </c>
    </row>
    <row r="195" spans="1:10" ht="16.5" x14ac:dyDescent="0.3">
      <c r="A195" s="10" t="s">
        <v>239</v>
      </c>
      <c r="B195" s="11">
        <v>45103</v>
      </c>
      <c r="C195" s="12" t="s">
        <v>11</v>
      </c>
      <c r="D195" s="12" t="s">
        <v>24</v>
      </c>
      <c r="E195" s="12" t="s">
        <v>111</v>
      </c>
      <c r="F195" s="12" t="s">
        <v>14</v>
      </c>
      <c r="G195" s="12">
        <v>17</v>
      </c>
      <c r="H195" s="13">
        <v>450</v>
      </c>
      <c r="I195" s="14">
        <v>0</v>
      </c>
      <c r="J195" s="15">
        <v>7650</v>
      </c>
    </row>
    <row r="196" spans="1:10" ht="16.5" x14ac:dyDescent="0.3">
      <c r="A196" s="4" t="s">
        <v>240</v>
      </c>
      <c r="B196" s="5">
        <v>45084</v>
      </c>
      <c r="C196" s="6" t="s">
        <v>11</v>
      </c>
      <c r="D196" s="6" t="s">
        <v>24</v>
      </c>
      <c r="E196" s="6" t="s">
        <v>31</v>
      </c>
      <c r="F196" s="6" t="s">
        <v>48</v>
      </c>
      <c r="G196" s="6">
        <v>17</v>
      </c>
      <c r="H196" s="7">
        <v>80</v>
      </c>
      <c r="I196" s="8">
        <v>0.15</v>
      </c>
      <c r="J196" s="9">
        <v>1156</v>
      </c>
    </row>
    <row r="197" spans="1:10" ht="16.5" x14ac:dyDescent="0.3">
      <c r="A197" s="10" t="s">
        <v>241</v>
      </c>
      <c r="B197" s="11">
        <v>45081</v>
      </c>
      <c r="C197" s="12" t="s">
        <v>16</v>
      </c>
      <c r="D197" s="12" t="s">
        <v>12</v>
      </c>
      <c r="E197" s="12" t="s">
        <v>60</v>
      </c>
      <c r="F197" s="12" t="s">
        <v>18</v>
      </c>
      <c r="G197" s="12">
        <v>1</v>
      </c>
      <c r="H197" s="13">
        <v>450</v>
      </c>
      <c r="I197" s="14">
        <v>0</v>
      </c>
      <c r="J197" s="15">
        <v>450</v>
      </c>
    </row>
    <row r="198" spans="1:10" ht="16.5" x14ac:dyDescent="0.3">
      <c r="A198" s="4" t="s">
        <v>242</v>
      </c>
      <c r="B198" s="5">
        <v>44930</v>
      </c>
      <c r="C198" s="6" t="s">
        <v>11</v>
      </c>
      <c r="D198" s="6" t="s">
        <v>21</v>
      </c>
      <c r="E198" s="6" t="s">
        <v>51</v>
      </c>
      <c r="F198" s="6" t="s">
        <v>64</v>
      </c>
      <c r="G198" s="6">
        <v>11</v>
      </c>
      <c r="H198" s="7">
        <v>180</v>
      </c>
      <c r="I198" s="8">
        <v>0</v>
      </c>
      <c r="J198" s="9">
        <v>1980</v>
      </c>
    </row>
    <row r="199" spans="1:10" ht="16.5" x14ac:dyDescent="0.3">
      <c r="A199" s="10" t="s">
        <v>243</v>
      </c>
      <c r="B199" s="11">
        <v>45287</v>
      </c>
      <c r="C199" s="12" t="s">
        <v>27</v>
      </c>
      <c r="D199" s="12" t="s">
        <v>24</v>
      </c>
      <c r="E199" s="12" t="s">
        <v>111</v>
      </c>
      <c r="F199" s="12" t="s">
        <v>57</v>
      </c>
      <c r="G199" s="12">
        <v>13</v>
      </c>
      <c r="H199" s="13">
        <v>450</v>
      </c>
      <c r="I199" s="14">
        <v>0.1</v>
      </c>
      <c r="J199" s="15">
        <v>5265</v>
      </c>
    </row>
    <row r="200" spans="1:10" ht="16.5" x14ac:dyDescent="0.3">
      <c r="A200" s="4" t="s">
        <v>244</v>
      </c>
      <c r="B200" s="5">
        <v>44948</v>
      </c>
      <c r="C200" s="6" t="s">
        <v>11</v>
      </c>
      <c r="D200" s="6" t="s">
        <v>21</v>
      </c>
      <c r="E200" s="6" t="s">
        <v>22</v>
      </c>
      <c r="F200" s="6" t="s">
        <v>37</v>
      </c>
      <c r="G200" s="6">
        <v>13</v>
      </c>
      <c r="H200" s="7">
        <v>220</v>
      </c>
      <c r="I200" s="8">
        <v>0.15</v>
      </c>
      <c r="J200" s="9">
        <v>2431</v>
      </c>
    </row>
    <row r="201" spans="1:10" ht="16.5" x14ac:dyDescent="0.3">
      <c r="A201" s="16" t="s">
        <v>245</v>
      </c>
      <c r="B201" s="17">
        <v>45146</v>
      </c>
      <c r="C201" s="18" t="s">
        <v>16</v>
      </c>
      <c r="D201" s="18" t="s">
        <v>24</v>
      </c>
      <c r="E201" s="18" t="s">
        <v>31</v>
      </c>
      <c r="F201" s="18" t="s">
        <v>37</v>
      </c>
      <c r="G201" s="18">
        <v>11</v>
      </c>
      <c r="H201" s="19">
        <v>80</v>
      </c>
      <c r="I201" s="20">
        <v>0.1</v>
      </c>
      <c r="J201" s="21">
        <v>792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Region</vt:lpstr>
      <vt:lpstr>DashBoard</vt:lpstr>
      <vt:lpstr>Sheet2 (2)</vt:lpstr>
      <vt:lpstr>Sheet2 (3)</vt:lpstr>
      <vt:lpstr>Sheet2 (4)</vt:lpstr>
      <vt:lpstr>Sheet2 (5)</vt:lpstr>
      <vt:lpstr>SaleData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YANN VANNYUT</dc:creator>
  <cp:lastModifiedBy>YANN VANNYUT</cp:lastModifiedBy>
  <dcterms:created xsi:type="dcterms:W3CDTF">2026-04-03T07:46:42Z</dcterms:created>
  <dcterms:modified xsi:type="dcterms:W3CDTF">2026-04-03T08:34:14Z</dcterms:modified>
</cp:coreProperties>
</file>